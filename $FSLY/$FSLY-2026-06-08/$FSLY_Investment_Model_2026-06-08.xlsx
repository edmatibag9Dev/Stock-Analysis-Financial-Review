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del" sheetId="2" state="visible" r:id="rId4"/>
    <sheet name="Rule_of_40" sheetId="3" state="visible" r:id="rId5"/>
    <sheet name="Options_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Ed</author>
  </authors>
  <commentList>
    <comment ref="C6" authorId="0">
      <text>
        <r>
          <rPr>
            <sz val="10"/>
            <rFont val="Arial"/>
            <family val="2"/>
          </rPr>
          <t xml:space="preserve">Source: Yahoo Finance / MarketBeat, 6/5-6/7/2026</t>
        </r>
      </text>
    </comment>
    <comment ref="C7" authorId="0">
      <text>
        <r>
          <rPr>
            <sz val="10"/>
            <rFont val="Arial"/>
            <family val="2"/>
          </rPr>
          <t xml:space="preserve">Source: MarketBeat, 6/2026</t>
        </r>
      </text>
    </comment>
    <comment ref="C8" authorId="0">
      <text>
        <r>
          <rPr>
            <sz val="10"/>
            <rFont val="Arial"/>
            <family val="2"/>
          </rPr>
          <t xml:space="preserve">Source: FSLY 10-Q Q1 2026 cover, 156,367,942 shares</t>
        </r>
      </text>
    </comment>
    <comment ref="C9" authorId="0">
      <text>
        <r>
          <rPr>
            <sz val="10"/>
            <rFont val="Arial"/>
            <family val="2"/>
          </rPr>
          <t xml:space="preserve">Analyst est.: basic 156M + dilutive equity awards; converts flagged as overhang</t>
        </r>
      </text>
    </comment>
    <comment ref="C11" authorId="0">
      <text>
        <r>
          <rPr>
            <sz val="10"/>
            <rFont val="Arial"/>
            <family val="2"/>
          </rPr>
          <t xml:space="preserve">Source: FSLY 10-Q Q1 2026 balance sheet (cash 146.670 + securities 183.819)</t>
        </r>
      </text>
    </comment>
    <comment ref="C12" authorId="0">
      <text>
        <r>
          <rPr>
            <sz val="10"/>
            <rFont val="Arial"/>
            <family val="2"/>
          </rPr>
          <t xml:space="preserve">Source: FSLY 10-Q Q1 2026, long-term debt net</t>
        </r>
      </text>
    </comment>
    <comment ref="C17" authorId="0">
      <text>
        <r>
          <rPr>
            <sz val="10"/>
            <rFont val="Arial"/>
            <family val="2"/>
          </rPr>
          <t xml:space="preserve">Source: FSLY 8-K Q1 2026 investor supplement</t>
        </r>
      </text>
    </comment>
    <comment ref="C18" authorId="0">
      <text>
        <r>
          <rPr>
            <sz val="10"/>
            <rFont val="Arial"/>
            <family val="2"/>
          </rPr>
          <t xml:space="preserve">vs Q1 2025 $144.474M</t>
        </r>
      </text>
    </comment>
    <comment ref="C19" authorId="0">
      <text>
        <r>
          <rPr>
            <sz val="10"/>
            <rFont val="Arial"/>
            <family val="2"/>
          </rPr>
          <t xml:space="preserve">Security $38.8M = 22% of total revenue</t>
        </r>
      </text>
    </comment>
    <comment ref="C20" authorId="0">
      <text>
        <r>
          <rPr>
            <sz val="10"/>
            <rFont val="Arial"/>
            <family val="2"/>
          </rPr>
          <t xml:space="preserve">Source: FSLY 8-K Q1 2026</t>
        </r>
      </text>
    </comment>
    <comment ref="C21" authorId="0">
      <text>
        <r>
          <rPr>
            <sz val="10"/>
            <rFont val="Arial"/>
            <family val="2"/>
          </rPr>
          <t xml:space="preserve">Record; Source: FSLY 8-K Q1 2026</t>
        </r>
      </text>
    </comment>
    <comment ref="C22" authorId="0">
      <text>
        <r>
          <rPr>
            <sz val="10"/>
            <rFont val="Arial"/>
            <family val="2"/>
          </rPr>
          <t xml:space="preserve">Non-GAAP op income $19.143M / rev</t>
        </r>
      </text>
    </comment>
    <comment ref="C23" authorId="0">
      <text>
        <r>
          <rPr>
            <sz val="10"/>
            <rFont val="Arial"/>
            <family val="2"/>
          </rPr>
          <t xml:space="preserve">Adj EBITDA $29.463M / rev</t>
        </r>
      </text>
    </comment>
    <comment ref="C24" authorId="0">
      <text>
        <r>
          <rPr>
            <sz val="10"/>
            <rFont val="Arial"/>
            <family val="2"/>
          </rPr>
          <t xml:space="preserve">FCF $4.109M; Q1 capex elevated ($21M PP&amp;E)</t>
        </r>
      </text>
    </comment>
    <comment ref="C25" authorId="0">
      <text>
        <r>
          <rPr>
            <sz val="10"/>
            <rFont val="Arial"/>
            <family val="2"/>
          </rPr>
          <t xml:space="preserve">Up from 110% Q4 2025, 100% Q1 2025</t>
        </r>
      </text>
    </comment>
    <comment ref="C26" authorId="0">
      <text>
        <r>
          <rPr>
            <sz val="10"/>
            <rFont val="Arial"/>
            <family val="2"/>
          </rPr>
          <t xml:space="preserve">+63% YoY; Source: FSLY 8-K Q1 2026</t>
        </r>
      </text>
    </comment>
    <comment ref="C27" authorId="0">
      <text>
        <r>
          <rPr>
            <sz val="10"/>
            <rFont val="Arial"/>
            <family val="2"/>
          </rPr>
          <t xml:space="preserve">Source: FSLY 8-K Q1 2026</t>
        </r>
      </text>
    </comment>
    <comment ref="F19" authorId="0">
      <text>
        <r>
          <rPr>
            <sz val="10"/>
            <rFont val="Arial"/>
            <family val="2"/>
          </rPr>
          <t xml:space="preserve">Estimated; stock recovering off ~$19 low</t>
        </r>
      </text>
    </comment>
    <comment ref="F20" authorId="0">
      <text>
        <r>
          <rPr>
            <sz val="10"/>
            <rFont val="Arial"/>
            <family val="2"/>
          </rPr>
          <t xml:space="preserve">Source: MarketBeat, 6/2026 — price BELOW (resistance)</t>
        </r>
      </text>
    </comment>
    <comment ref="F21" authorId="0">
      <text>
        <r>
          <rPr>
            <sz val="10"/>
            <rFont val="Arial"/>
            <family val="2"/>
          </rPr>
          <t xml:space="preserve">Source: MarketBeat, 6/2026 — price ABOVE (support)</t>
        </r>
      </text>
    </comment>
    <comment ref="F22" authorId="0">
      <text>
        <r>
          <rPr>
            <sz val="10"/>
            <rFont val="Arial"/>
            <family val="2"/>
          </rPr>
          <t xml:space="preserve">Estimated; ~38% drop from May high then bounce</t>
        </r>
      </text>
    </comment>
    <comment ref="F23" authorId="0">
      <text>
        <r>
          <rPr>
            <sz val="10"/>
            <rFont val="Arial"/>
            <family val="2"/>
          </rPr>
          <t xml:space="preserve">Post 38% one-month drop; favors premium selling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Ed</author>
  </authors>
  <commentList>
    <comment ref="B6" authorId="0">
      <text>
        <r>
          <rPr>
            <sz val="10"/>
            <rFont val="Arial"/>
            <family val="2"/>
          </rPr>
          <t xml:space="preserve">Source: FSLY 8-K FY2025 release (2/11/2026)</t>
        </r>
      </text>
    </comment>
    <comment ref="B7" authorId="0">
      <text>
        <r>
          <rPr>
            <sz val="10"/>
            <rFont val="Arial"/>
            <family val="2"/>
          </rPr>
          <t xml:space="preserve">Source: FSLY 8-K FY2025 release; +14.8% YoY</t>
        </r>
      </text>
    </comment>
    <comment ref="B8" authorId="0">
      <text>
        <r>
          <rPr>
            <sz val="10"/>
            <rFont val="Arial"/>
            <family val="2"/>
          </rPr>
          <t xml:space="preserve">Sum of 4 quarters non-GAAP op income</t>
        </r>
      </text>
    </comment>
    <comment ref="B9" authorId="0">
      <text>
        <r>
          <rPr>
            <sz val="10"/>
            <rFont val="Arial"/>
            <family val="2"/>
          </rPr>
          <t xml:space="preserve">Sum of 4 quarters adj. EBITDA</t>
        </r>
      </text>
    </comment>
    <comment ref="B10" authorId="0">
      <text>
        <r>
          <rPr>
            <sz val="10"/>
            <rFont val="Arial"/>
            <family val="2"/>
          </rPr>
          <t xml:space="preserve">Sum of 4 quarters FCF</t>
        </r>
      </text>
    </comment>
    <comment ref="B11" authorId="0">
      <text>
        <r>
          <rPr>
            <sz val="10"/>
            <rFont val="Arial"/>
            <family val="2"/>
          </rPr>
          <t xml:space="preserve">Guidance midpoint $710-725M; label growth FROM this base</t>
        </r>
      </text>
    </comment>
  </commentList>
</comments>
</file>

<file path=xl/sharedStrings.xml><?xml version="1.0" encoding="utf-8"?>
<sst xmlns="http://schemas.openxmlformats.org/spreadsheetml/2006/main" count="193" uniqueCount="171">
  <si>
    <t xml:space="preserve">FASTLY, INC. (NASDAQ: FSLY) — INVESTMENT DASHBOARD</t>
  </si>
  <si>
    <t xml:space="preserve">Analysis date: June 8, 2026  |  Analyst: Ed  |  Rating: HOLD / Accumulate on weakness  |  Vehicle: Long equity + income options overlay</t>
  </si>
  <si>
    <t xml:space="preserve">MARKET SNAPSHOT</t>
  </si>
  <si>
    <t xml:space="preserve">Current Price</t>
  </si>
  <si>
    <t xml:space="preserve">VALUATION SUMMARY</t>
  </si>
  <si>
    <t xml:space="preserve">52-Week Range</t>
  </si>
  <si>
    <t xml:space="preserve">$6.29 – $34.82</t>
  </si>
  <si>
    <t xml:space="preserve">DCF Bull Case / share</t>
  </si>
  <si>
    <t xml:space="preserve">Shares Outstanding (Class A, M)</t>
  </si>
  <si>
    <t xml:space="preserve">DCF Base Case / share</t>
  </si>
  <si>
    <t xml:space="preserve">Diluted Shares — valuation (M)</t>
  </si>
  <si>
    <t xml:space="preserve">DCF Bear Case / share</t>
  </si>
  <si>
    <t xml:space="preserve">Market Cap ($M)</t>
  </si>
  <si>
    <t xml:space="preserve">Cash + Marketable Securities ($M)</t>
  </si>
  <si>
    <t xml:space="preserve">Base Case vs Current</t>
  </si>
  <si>
    <t xml:space="preserve">Total Debt — convertible notes ($M)</t>
  </si>
  <si>
    <t xml:space="preserve">FY2026 Guided Revenue ($M)</t>
  </si>
  <si>
    <t xml:space="preserve">Net Cash ($M)</t>
  </si>
  <si>
    <t xml:space="preserve">FY2026 Rev Growth (guidance)</t>
  </si>
  <si>
    <t xml:space="preserve">Enterprise Value ($M)</t>
  </si>
  <si>
    <t xml:space="preserve">EV / FY26 Revenue</t>
  </si>
  <si>
    <t xml:space="preserve">Rule of 40 (FY2025)</t>
  </si>
  <si>
    <t xml:space="preserve">FUNDAMENTALS (Most Recent Quarter — Q1 2026)</t>
  </si>
  <si>
    <t xml:space="preserve">Rule of 40 (Q1 2026 ann.)</t>
  </si>
  <si>
    <t xml:space="preserve">Q1 2026 Revenue ($M)</t>
  </si>
  <si>
    <t xml:space="preserve">Revenue Growth (YoY)</t>
  </si>
  <si>
    <t xml:space="preserve">TECHNICAL LEVELS</t>
  </si>
  <si>
    <t xml:space="preserve">Security Revenue Growth (YoY)</t>
  </si>
  <si>
    <t xml:space="preserve">20-Day SMA (est.)</t>
  </si>
  <si>
    <t xml:space="preserve">GAAP Gross Margin</t>
  </si>
  <si>
    <t xml:space="preserve">50-Day SMA</t>
  </si>
  <si>
    <t xml:space="preserve">Non-GAAP Gross Margin</t>
  </si>
  <si>
    <t xml:space="preserve">200-Day SMA</t>
  </si>
  <si>
    <t xml:space="preserve">Non-GAAP Operating Margin</t>
  </si>
  <si>
    <t xml:space="preserve">RSI (14, est.)</t>
  </si>
  <si>
    <t xml:space="preserve">Adj. EBITDA Margin</t>
  </si>
  <si>
    <t xml:space="preserve">Implied Volatility (est.)</t>
  </si>
  <si>
    <t xml:space="preserve">Elevated</t>
  </si>
  <si>
    <t xml:space="preserve">FCF Margin (Q1 — heavy capex)</t>
  </si>
  <si>
    <t xml:space="preserve">LTM Net Retention Rate</t>
  </si>
  <si>
    <t xml:space="preserve">Color key: blue = hardcoded input | black = formula | green = cross-sheet link. Not investment advice.</t>
  </si>
  <si>
    <t xml:space="preserve">Large Customers (&gt;$100K)</t>
  </si>
  <si>
    <t xml:space="preserve">FSLY — DCF VALUATION MODEL (5-Year FCF, Gordon Growth Terminal)</t>
  </si>
  <si>
    <t xml:space="preserve">SINGLE WACC across all scenarios (mandatory). Only growth, FCF margin &amp; terminal growth vary.</t>
  </si>
  <si>
    <t xml:space="preserve">HISTORICAL &amp; BASE ($M)</t>
  </si>
  <si>
    <t xml:space="preserve">Metric</t>
  </si>
  <si>
    <t xml:space="preserve">Value</t>
  </si>
  <si>
    <t xml:space="preserve">FY2024 Revenue</t>
  </si>
  <si>
    <t xml:space="preserve">FY2025 Revenue</t>
  </si>
  <si>
    <t xml:space="preserve">FY2025 Non-GAAP Op Income</t>
  </si>
  <si>
    <t xml:space="preserve">FY2025 Adj. EBITDA</t>
  </si>
  <si>
    <t xml:space="preserve">FY2025 Free Cash Flow</t>
  </si>
  <si>
    <t xml:space="preserve">FY2026 Guided Revenue (Yr1 base)</t>
  </si>
  <si>
    <t xml:space="preserve">ASSUMPTIONS</t>
  </si>
  <si>
    <t xml:space="preserve">Assumption</t>
  </si>
  <si>
    <t xml:space="preserve">Bull</t>
  </si>
  <si>
    <t xml:space="preserve">Base</t>
  </si>
  <si>
    <t xml:space="preserve">Bear</t>
  </si>
  <si>
    <t xml:space="preserve">WACC (single, all scenarios)</t>
  </si>
  <si>
    <t xml:space="preserve">Yr2 Revenue Growth</t>
  </si>
  <si>
    <t xml:space="preserve">Yr3 Revenue Growth</t>
  </si>
  <si>
    <t xml:space="preserve">Yr4 Revenue Growth</t>
  </si>
  <si>
    <t xml:space="preserve">Yr5 Revenue Growth</t>
  </si>
  <si>
    <t xml:space="preserve">Yr1 FCF Margin</t>
  </si>
  <si>
    <t xml:space="preserve">Yr2 FCF Margin</t>
  </si>
  <si>
    <t xml:space="preserve">Yr3 FCF Margin</t>
  </si>
  <si>
    <t xml:space="preserve">Yr4 FCF Margin</t>
  </si>
  <si>
    <t xml:space="preserve">Yr5 FCF Margin (terminal)</t>
  </si>
  <si>
    <t xml:space="preserve">Terminal Growth Rate</t>
  </si>
  <si>
    <t xml:space="preserve">PROJECTIONS — REVENUE ($M)</t>
  </si>
  <si>
    <t xml:space="preserve">Year</t>
  </si>
  <si>
    <t xml:space="preserve">Yr1 (FY2026, guided)</t>
  </si>
  <si>
    <t xml:space="preserve">Yr2 (FY2027)</t>
  </si>
  <si>
    <t xml:space="preserve">Yr3 (FY2028)</t>
  </si>
  <si>
    <t xml:space="preserve">Yr4 (FY2029)</t>
  </si>
  <si>
    <t xml:space="preserve">Yr5 (FY2030)</t>
  </si>
  <si>
    <t xml:space="preserve">PROJECTIONS — FREE CASH FLOW ($M)</t>
  </si>
  <si>
    <t xml:space="preserve">Yr1 FCF</t>
  </si>
  <si>
    <t xml:space="preserve">Yr2 FCF</t>
  </si>
  <si>
    <t xml:space="preserve">Yr3 FCF</t>
  </si>
  <si>
    <t xml:space="preserve">Dashboard link row (Bull/Base/Bear)</t>
  </si>
  <si>
    <t xml:space="preserve">Yr5 FCF</t>
  </si>
  <si>
    <t xml:space="preserve">DCF WATERFALL</t>
  </si>
  <si>
    <t xml:space="preserve">Item</t>
  </si>
  <si>
    <t xml:space="preserve">PV of 5-Yr FCF</t>
  </si>
  <si>
    <t xml:space="preserve">Terminal Value (Gordon Growth)</t>
  </si>
  <si>
    <t xml:space="preserve">PV of Terminal Value</t>
  </si>
  <si>
    <t xml:space="preserve">Enterprise Value</t>
  </si>
  <si>
    <t xml:space="preserve">+ Net Cash</t>
  </si>
  <si>
    <t xml:space="preserve">Equity Value</t>
  </si>
  <si>
    <t xml:space="preserve">Diluted Shares (M)</t>
  </si>
  <si>
    <t xml:space="preserve">INTRINSIC PRICE / SHARE</t>
  </si>
  <si>
    <t xml:space="preserve">Upside/(Downside) vs Current</t>
  </si>
  <si>
    <t xml:space="preserve">FSLY — RULE OF 40 ANALYSIS</t>
  </si>
  <si>
    <t xml:space="preserve">Rule of 40 = Revenue Growth % + Profitability Margin %.  &gt;40 healthy, &gt;60 exceptional.</t>
  </si>
  <si>
    <t xml:space="preserve">FSLY SCORECARD</t>
  </si>
  <si>
    <t xml:space="preserve">Basis</t>
  </si>
  <si>
    <t xml:space="preserve">Growth %</t>
  </si>
  <si>
    <t xml:space="preserve">Margin %</t>
  </si>
  <si>
    <t xml:space="preserve">Rule of 40</t>
  </si>
  <si>
    <t xml:space="preserve">FY2025 — FCF margin</t>
  </si>
  <si>
    <t xml:space="preserve">FY2025 — Adj. EBITDA margin</t>
  </si>
  <si>
    <t xml:space="preserve">FY2025 — Non-GAAP op margin</t>
  </si>
  <si>
    <t xml:space="preserve">FY2025 headline R40 (adj. EBITDA basis)</t>
  </si>
  <si>
    <t xml:space="preserve">Q1 2026 (ANNUALIZED YoY)</t>
  </si>
  <si>
    <t xml:space="preserve">Q1 2026 — FCF margin</t>
  </si>
  <si>
    <t xml:space="preserve">Q1 2026 — Adj. EBITDA margin</t>
  </si>
  <si>
    <t xml:space="preserve">Q1 2026 — Non-GAAP op margin</t>
  </si>
  <si>
    <t xml:space="preserve">Q1 2026 headline R40 (adj. EBITDA basis)</t>
  </si>
  <si>
    <t xml:space="preserve">PEER COMPARABLES (CDN / Edge / Security)</t>
  </si>
  <si>
    <t xml:space="preserve">Company</t>
  </si>
  <si>
    <t xml:space="preserve">Ticker</t>
  </si>
  <si>
    <t xml:space="preserve">Fwd Rev Growth</t>
  </si>
  <si>
    <t xml:space="preserve">FCF Margin (est.)</t>
  </si>
  <si>
    <t xml:space="preserve">Fwd EV/Sales</t>
  </si>
  <si>
    <t xml:space="preserve">Note</t>
  </si>
  <si>
    <t xml:space="preserve">Fastly</t>
  </si>
  <si>
    <t xml:space="preserve">FSLY</t>
  </si>
  <si>
    <t xml:space="preserve">Subject — accelerating Security + AI</t>
  </si>
  <si>
    <t xml:space="preserve">Cloudflare</t>
  </si>
  <si>
    <t xml:space="preserve">NET</t>
  </si>
  <si>
    <t xml:space="preserve">Premium multiple; 30%+ growth</t>
  </si>
  <si>
    <t xml:space="preserve">Akamai</t>
  </si>
  <si>
    <t xml:space="preserve">AKAM</t>
  </si>
  <si>
    <t xml:space="preserve">Mature; security/compute pivot</t>
  </si>
  <si>
    <t xml:space="preserve">Datadog</t>
  </si>
  <si>
    <t xml:space="preserve">DDOG</t>
  </si>
  <si>
    <t xml:space="preserve">Observability; high R40</t>
  </si>
  <si>
    <t xml:space="preserve">Cloudflare-tier avg</t>
  </si>
  <si>
    <t xml:space="preserve">—</t>
  </si>
  <si>
    <t xml:space="preserve">Hypergrowth comp</t>
  </si>
  <si>
    <t xml:space="preserve">CDN/infra avg</t>
  </si>
  <si>
    <t xml:space="preserve">Mature infra comp</t>
  </si>
  <si>
    <t xml:space="preserve">Limelight/Edgio (defunct)</t>
  </si>
  <si>
    <t xml:space="preserve">n/a</t>
  </si>
  <si>
    <t xml:space="preserve">Cautionary CDN comp</t>
  </si>
  <si>
    <t xml:space="preserve">Peer growth/FCF figures are approximate analyst estimates for context, not precise consensus.</t>
  </si>
  <si>
    <t xml:space="preserve">FSLY — OPTIONS OVERLAY (Income; existing 100–500 share position)</t>
  </si>
  <si>
    <t xml:space="preserve">Goal: generate income against shares. Elevated IV post-drop favors SELLING premium. Yields shown PER CYCLE.</t>
  </si>
  <si>
    <t xml:space="preserve">MARKET REFERENCE</t>
  </si>
  <si>
    <t xml:space="preserve">50-Day SMA (resistance)</t>
  </si>
  <si>
    <t xml:space="preserve">200-Day SMA (support)</t>
  </si>
  <si>
    <t xml:space="preserve">DCF Base Case</t>
  </si>
  <si>
    <t xml:space="preserve">DCF Bear Case</t>
  </si>
  <si>
    <t xml:space="preserve">RECOMMENDED STRATEGIES (per 1 contract = 100 shares)</t>
  </si>
  <si>
    <t xml:space="preserve">Strategy</t>
  </si>
  <si>
    <t xml:space="preserve">Structure</t>
  </si>
  <si>
    <t xml:space="preserve">Net Premium / Cost</t>
  </si>
  <si>
    <t xml:space="preserve">Max Gain</t>
  </si>
  <si>
    <t xml:space="preserve">Max Loss / Risk</t>
  </si>
  <si>
    <t xml:space="preserve">Rationale</t>
  </si>
  <si>
    <t xml:space="preserve">Covered Call (primary)</t>
  </si>
  <si>
    <t xml:space="preserve">Sell $25 call, ~45–60 DTE (Aug 2026)</t>
  </si>
  <si>
    <t xml:space="preserve">+$1.00 (~$100/contract)</t>
  </si>
  <si>
    <t xml:space="preserve">Premium + $4.91 appreciation to $25 = ~$591/contract</t>
  </si>
  <si>
    <t xml:space="preserve">Caps upside above $25; keep shares unless called</t>
  </si>
  <si>
    <t xml:space="preserve">Income at/above 50-day SMA resistance. ~5% per-cycle yield on $20 stock. Strike above DCF base, near bull DCF.</t>
  </si>
  <si>
    <t xml:space="preserve">Cash-Secured Put (add)</t>
  </si>
  <si>
    <t xml:space="preserve">Sell $17.50 put, ~45 DTE</t>
  </si>
  <si>
    <t xml:space="preserve">+$0.70 (~$70/contract)</t>
  </si>
  <si>
    <t xml:space="preserve">$70 premium kept if above $17.50</t>
  </si>
  <si>
    <t xml:space="preserve">Assigned at $17.50 (net ~$16.80) — $1,680 cash/contract</t>
  </si>
  <si>
    <t xml:space="preserve">Adds shares near DCF base/support if dips. ~4% per-cycle yield. Better entry toward intrinsic value.</t>
  </si>
  <si>
    <t xml:space="preserve">Collar (optional)</t>
  </si>
  <si>
    <t xml:space="preserve">Sell $25 call + buy $17 put, ~60 DTE</t>
  </si>
  <si>
    <t xml:space="preserve">~$0.10 net credit</t>
  </si>
  <si>
    <t xml:space="preserve">Premium + appreciation to $25</t>
  </si>
  <si>
    <t xml:space="preserve">Downside floored at $17 (near 200-day SMA)</t>
  </si>
  <si>
    <t xml:space="preserve">Protects gains given recent 38% drop; near-zero cost. Use if prioritizing protection over pure income.</t>
  </si>
  <si>
    <t xml:space="preserve">Position sizing (100–500 shares): 1–5 covered-call contracts. Size CSP cash so max assignment ($1,680/contract) stays within risk budget.</t>
  </si>
  <si>
    <t xml:space="preserve">Premiums are estimates pending live IV; verify on the chain. Yields are PER CYCLE, not annualized. Not investment advice.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</si>
</sst>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#,##0.0"/>
    <numFmt numFmtId="167" formatCode="\$#,##0;&quot;($&quot;#,##0\);\-"/>
    <numFmt numFmtId="168" formatCode="0.0%;\(0.0%\);\-"/>
    <numFmt numFmtId="169" formatCode="0.0\x"/>
    <numFmt numFmtId="170" formatCode="0.0"/>
    <numFmt numFmtId="171" formatCode="0"/>
    <numFmt numFmtId="172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i val="true"/>
      <sz val="9"/>
      <color rgb="FFC00000"/>
      <name val="Arial"/>
      <family val="0"/>
      <charset val="1"/>
    </font>
    <font>
      <sz val="8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5E8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D5E8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  <c r="F5" s="4"/>
      <c r="G5" s="4"/>
    </row>
    <row r="6" customFormat="false" ht="15" hidden="false" customHeight="false" outlineLevel="0" collapsed="false">
      <c r="B6" s="5" t="s">
        <v>3</v>
      </c>
      <c r="C6" s="6" t="n">
        <v>20.09</v>
      </c>
      <c r="E6" s="3" t="s">
        <v>4</v>
      </c>
      <c r="F6" s="4"/>
      <c r="G6" s="4"/>
    </row>
    <row r="7" customFormat="false" ht="15" hidden="false" customHeight="false" outlineLevel="0" collapsed="false">
      <c r="B7" s="5" t="s">
        <v>5</v>
      </c>
      <c r="C7" s="7" t="s">
        <v>6</v>
      </c>
      <c r="E7" s="8" t="s">
        <v>7</v>
      </c>
      <c r="F7" s="9" t="n">
        <f aca="false">Model!C40</f>
        <v>24.161293690233</v>
      </c>
    </row>
    <row r="8" customFormat="false" ht="15" hidden="false" customHeight="false" outlineLevel="0" collapsed="false">
      <c r="B8" s="5" t="s">
        <v>8</v>
      </c>
      <c r="C8" s="10" t="n">
        <v>156.4</v>
      </c>
      <c r="E8" s="11" t="s">
        <v>9</v>
      </c>
      <c r="F8" s="9" t="n">
        <f aca="false">Model!D40</f>
        <v>12.5480023386519</v>
      </c>
    </row>
    <row r="9" customFormat="false" ht="15" hidden="false" customHeight="false" outlineLevel="0" collapsed="false">
      <c r="B9" s="5" t="s">
        <v>10</v>
      </c>
      <c r="C9" s="10" t="n">
        <v>165</v>
      </c>
      <c r="E9" s="12" t="s">
        <v>11</v>
      </c>
      <c r="F9" s="9" t="n">
        <f aca="false">Model!E40</f>
        <v>6.97215288321654</v>
      </c>
    </row>
    <row r="10" customFormat="false" ht="15" hidden="false" customHeight="false" outlineLevel="0" collapsed="false">
      <c r="B10" s="5" t="s">
        <v>12</v>
      </c>
      <c r="C10" s="13" t="n">
        <f aca="false">C6*C8</f>
        <v>3142.076</v>
      </c>
      <c r="E10" s="5" t="s">
        <v>3</v>
      </c>
      <c r="F10" s="14" t="n">
        <f aca="false">C6</f>
        <v>20.09</v>
      </c>
    </row>
    <row r="11" customFormat="false" ht="15" hidden="false" customHeight="false" outlineLevel="0" collapsed="false">
      <c r="B11" s="5" t="s">
        <v>13</v>
      </c>
      <c r="C11" s="15" t="n">
        <v>330.489</v>
      </c>
      <c r="E11" s="5" t="s">
        <v>14</v>
      </c>
      <c r="F11" s="16" t="n">
        <f aca="false">F8/F10-1</f>
        <v>-0.375410535656947</v>
      </c>
    </row>
    <row r="12" customFormat="false" ht="15" hidden="false" customHeight="false" outlineLevel="0" collapsed="false">
      <c r="B12" s="5" t="s">
        <v>15</v>
      </c>
      <c r="C12" s="15" t="n">
        <v>323.62</v>
      </c>
      <c r="E12" s="17" t="s">
        <v>16</v>
      </c>
      <c r="F12" s="15" t="n">
        <v>717.5</v>
      </c>
    </row>
    <row r="13" customFormat="false" ht="15" hidden="false" customHeight="false" outlineLevel="0" collapsed="false">
      <c r="B13" s="5" t="s">
        <v>17</v>
      </c>
      <c r="C13" s="13" t="n">
        <f aca="false">C11-C12</f>
        <v>6.86899999999997</v>
      </c>
      <c r="E13" s="5" t="s">
        <v>18</v>
      </c>
      <c r="F13" s="18" t="n">
        <f aca="false">F12/Model!B7-1</f>
        <v>0.149806576092356</v>
      </c>
    </row>
    <row r="14" customFormat="false" ht="15" hidden="false" customHeight="false" outlineLevel="0" collapsed="false">
      <c r="B14" s="5" t="s">
        <v>19</v>
      </c>
      <c r="C14" s="13" t="n">
        <f aca="false">C10-C13</f>
        <v>3135.207</v>
      </c>
      <c r="E14" s="5" t="s">
        <v>20</v>
      </c>
      <c r="F14" s="19" t="n">
        <f aca="false">C14/F12</f>
        <v>4.36962648083624</v>
      </c>
    </row>
    <row r="15" customFormat="false" ht="15" hidden="false" customHeight="false" outlineLevel="0" collapsed="false">
      <c r="E15" s="5" t="s">
        <v>21</v>
      </c>
      <c r="F15" s="20" t="n">
        <f aca="false">Rule_of_40!C9</f>
        <v>27.2</v>
      </c>
    </row>
    <row r="16" customFormat="false" ht="15" hidden="false" customHeight="false" outlineLevel="0" collapsed="false">
      <c r="B16" s="3" t="s">
        <v>22</v>
      </c>
      <c r="C16" s="4"/>
      <c r="D16" s="4"/>
      <c r="E16" s="5" t="s">
        <v>23</v>
      </c>
      <c r="F16" s="21" t="n">
        <f aca="false">Rule_of_40!C16</f>
        <v>37</v>
      </c>
      <c r="G16" s="4"/>
    </row>
    <row r="17" customFormat="false" ht="15" hidden="false" customHeight="false" outlineLevel="0" collapsed="false">
      <c r="B17" s="5" t="s">
        <v>24</v>
      </c>
      <c r="C17" s="15" t="n">
        <v>173.021</v>
      </c>
    </row>
    <row r="18" customFormat="false" ht="15" hidden="false" customHeight="false" outlineLevel="0" collapsed="false">
      <c r="B18" s="5" t="s">
        <v>25</v>
      </c>
      <c r="C18" s="22" t="n">
        <v>0.2</v>
      </c>
      <c r="E18" s="3" t="s">
        <v>26</v>
      </c>
      <c r="F18" s="4"/>
      <c r="G18" s="4"/>
    </row>
    <row r="19" customFormat="false" ht="15" hidden="false" customHeight="false" outlineLevel="0" collapsed="false">
      <c r="B19" s="5" t="s">
        <v>27</v>
      </c>
      <c r="C19" s="22" t="n">
        <v>0.47</v>
      </c>
      <c r="E19" s="5" t="s">
        <v>28</v>
      </c>
      <c r="F19" s="6" t="n">
        <v>21.2</v>
      </c>
    </row>
    <row r="20" customFormat="false" ht="15" hidden="false" customHeight="false" outlineLevel="0" collapsed="false">
      <c r="B20" s="5" t="s">
        <v>29</v>
      </c>
      <c r="C20" s="22" t="n">
        <v>0.625</v>
      </c>
      <c r="E20" s="5" t="s">
        <v>30</v>
      </c>
      <c r="F20" s="6" t="n">
        <v>23.34</v>
      </c>
    </row>
    <row r="21" customFormat="false" ht="15" hidden="false" customHeight="false" outlineLevel="0" collapsed="false">
      <c r="B21" s="5" t="s">
        <v>31</v>
      </c>
      <c r="C21" s="22" t="n">
        <v>0.651</v>
      </c>
      <c r="E21" s="5" t="s">
        <v>32</v>
      </c>
      <c r="F21" s="6" t="n">
        <v>17.14</v>
      </c>
    </row>
    <row r="22" customFormat="false" ht="15" hidden="false" customHeight="false" outlineLevel="0" collapsed="false">
      <c r="B22" s="5" t="s">
        <v>33</v>
      </c>
      <c r="C22" s="22" t="n">
        <v>0.111</v>
      </c>
      <c r="E22" s="5" t="s">
        <v>34</v>
      </c>
      <c r="F22" s="23" t="n">
        <v>41</v>
      </c>
    </row>
    <row r="23" customFormat="false" ht="15" hidden="false" customHeight="false" outlineLevel="0" collapsed="false">
      <c r="B23" s="5" t="s">
        <v>35</v>
      </c>
      <c r="C23" s="22" t="n">
        <v>0.17</v>
      </c>
      <c r="E23" s="5" t="s">
        <v>36</v>
      </c>
      <c r="F23" s="7" t="s">
        <v>37</v>
      </c>
    </row>
    <row r="24" customFormat="false" ht="15" hidden="false" customHeight="false" outlineLevel="0" collapsed="false">
      <c r="B24" s="5" t="s">
        <v>38</v>
      </c>
      <c r="C24" s="22" t="n">
        <v>0.024</v>
      </c>
    </row>
    <row r="25" customFormat="false" ht="15" hidden="false" customHeight="false" outlineLevel="0" collapsed="false">
      <c r="B25" s="5" t="s">
        <v>39</v>
      </c>
      <c r="C25" s="22" t="n">
        <v>1.13</v>
      </c>
    </row>
    <row r="26" customFormat="false" ht="15" hidden="false" customHeight="false" outlineLevel="0" collapsed="false">
      <c r="B26" s="24" t="s">
        <v>40</v>
      </c>
      <c r="C26" s="15" t="n">
        <v>368.7</v>
      </c>
    </row>
    <row r="27" customFormat="false" ht="15" hidden="false" customHeight="false" outlineLevel="0" collapsed="false">
      <c r="B27" s="5" t="s">
        <v>41</v>
      </c>
      <c r="C27" s="25" t="n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6" t="s">
        <v>43</v>
      </c>
    </row>
    <row r="4" customFormat="false" ht="15" hidden="false" customHeight="false" outlineLevel="0" collapsed="false">
      <c r="A4" s="3" t="s">
        <v>44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45</v>
      </c>
      <c r="B5" s="27" t="s">
        <v>46</v>
      </c>
    </row>
    <row r="6" customFormat="false" ht="15" hidden="false" customHeight="false" outlineLevel="0" collapsed="false">
      <c r="A6" s="28" t="s">
        <v>47</v>
      </c>
      <c r="B6" s="15" t="n">
        <v>543.676</v>
      </c>
    </row>
    <row r="7" customFormat="false" ht="15" hidden="false" customHeight="false" outlineLevel="0" collapsed="false">
      <c r="A7" s="28" t="s">
        <v>48</v>
      </c>
      <c r="B7" s="15" t="n">
        <v>624.018</v>
      </c>
    </row>
    <row r="8" customFormat="false" ht="15" hidden="false" customHeight="false" outlineLevel="0" collapsed="false">
      <c r="A8" s="28" t="s">
        <v>49</v>
      </c>
      <c r="B8" s="15" t="n">
        <v>22.398</v>
      </c>
    </row>
    <row r="9" customFormat="false" ht="15" hidden="false" customHeight="false" outlineLevel="0" collapsed="false">
      <c r="A9" s="28" t="s">
        <v>50</v>
      </c>
      <c r="B9" s="15" t="n">
        <v>77.379</v>
      </c>
    </row>
    <row r="10" customFormat="false" ht="15" hidden="false" customHeight="false" outlineLevel="0" collapsed="false">
      <c r="A10" s="28" t="s">
        <v>51</v>
      </c>
      <c r="B10" s="15" t="n">
        <v>45.809</v>
      </c>
    </row>
    <row r="11" customFormat="false" ht="15" hidden="false" customHeight="false" outlineLevel="0" collapsed="false">
      <c r="A11" s="28" t="s">
        <v>52</v>
      </c>
      <c r="B11" s="15" t="n">
        <v>717.5</v>
      </c>
    </row>
    <row r="13" customFormat="false" ht="15" hidden="false" customHeight="false" outlineLevel="0" collapsed="false">
      <c r="A13" s="3" t="s">
        <v>53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5" t="s">
        <v>54</v>
      </c>
      <c r="C14" s="29" t="s">
        <v>55</v>
      </c>
      <c r="D14" s="30" t="s">
        <v>56</v>
      </c>
      <c r="E14" s="31" t="s">
        <v>57</v>
      </c>
    </row>
    <row r="15" customFormat="false" ht="15" hidden="false" customHeight="false" outlineLevel="0" collapsed="false">
      <c r="A15" s="32" t="s">
        <v>58</v>
      </c>
      <c r="C15" s="22" t="n">
        <v>0.11</v>
      </c>
      <c r="D15" s="22" t="n">
        <v>0.11</v>
      </c>
      <c r="E15" s="22" t="n">
        <v>0.11</v>
      </c>
    </row>
    <row r="16" customFormat="false" ht="15" hidden="false" customHeight="false" outlineLevel="0" collapsed="false">
      <c r="A16" s="32" t="s">
        <v>59</v>
      </c>
      <c r="C16" s="22" t="n">
        <v>0.2</v>
      </c>
      <c r="D16" s="22" t="n">
        <v>0.13</v>
      </c>
      <c r="E16" s="22" t="n">
        <v>0.09</v>
      </c>
    </row>
    <row r="17" customFormat="false" ht="15" hidden="false" customHeight="false" outlineLevel="0" collapsed="false">
      <c r="A17" s="32" t="s">
        <v>60</v>
      </c>
      <c r="C17" s="22" t="n">
        <v>0.18</v>
      </c>
      <c r="D17" s="22" t="n">
        <v>0.12</v>
      </c>
      <c r="E17" s="22" t="n">
        <v>0.07</v>
      </c>
    </row>
    <row r="18" customFormat="false" ht="15" hidden="false" customHeight="false" outlineLevel="0" collapsed="false">
      <c r="A18" s="32" t="s">
        <v>61</v>
      </c>
      <c r="C18" s="22" t="n">
        <v>0.16</v>
      </c>
      <c r="D18" s="22" t="n">
        <v>0.11</v>
      </c>
      <c r="E18" s="22" t="n">
        <v>0.06</v>
      </c>
    </row>
    <row r="19" customFormat="false" ht="15" hidden="false" customHeight="false" outlineLevel="0" collapsed="false">
      <c r="A19" s="32" t="s">
        <v>62</v>
      </c>
      <c r="C19" s="22" t="n">
        <v>0.14</v>
      </c>
      <c r="D19" s="22" t="n">
        <v>0.1</v>
      </c>
      <c r="E19" s="22" t="n">
        <v>0.05</v>
      </c>
    </row>
    <row r="20" customFormat="false" ht="15" hidden="false" customHeight="false" outlineLevel="0" collapsed="false">
      <c r="A20" s="32" t="s">
        <v>63</v>
      </c>
      <c r="C20" s="22" t="n">
        <v>0.08</v>
      </c>
      <c r="D20" s="22" t="n">
        <v>0.07</v>
      </c>
      <c r="E20" s="22" t="n">
        <v>0.06</v>
      </c>
    </row>
    <row r="21" customFormat="false" ht="15" hidden="false" customHeight="false" outlineLevel="0" collapsed="false">
      <c r="A21" s="32" t="s">
        <v>64</v>
      </c>
      <c r="C21" s="22" t="n">
        <v>0.13</v>
      </c>
      <c r="D21" s="22" t="n">
        <v>0.1</v>
      </c>
      <c r="E21" s="22" t="n">
        <v>0.07</v>
      </c>
    </row>
    <row r="22" customFormat="false" ht="15" hidden="false" customHeight="false" outlineLevel="0" collapsed="false">
      <c r="A22" s="32" t="s">
        <v>65</v>
      </c>
      <c r="C22" s="22" t="n">
        <v>0.17</v>
      </c>
      <c r="D22" s="22" t="n">
        <v>0.13</v>
      </c>
      <c r="E22" s="22" t="n">
        <v>0.09</v>
      </c>
    </row>
    <row r="23" customFormat="false" ht="15" hidden="false" customHeight="false" outlineLevel="0" collapsed="false">
      <c r="A23" s="32" t="s">
        <v>66</v>
      </c>
      <c r="C23" s="22" t="n">
        <v>0.22</v>
      </c>
      <c r="D23" s="22" t="n">
        <v>0.16</v>
      </c>
      <c r="E23" s="22" t="n">
        <v>0.11</v>
      </c>
    </row>
    <row r="24" customFormat="false" ht="15" hidden="false" customHeight="false" outlineLevel="0" collapsed="false">
      <c r="A24" s="32" t="s">
        <v>67</v>
      </c>
      <c r="C24" s="22" t="n">
        <v>0.26</v>
      </c>
      <c r="D24" s="22" t="n">
        <v>0.19</v>
      </c>
      <c r="E24" s="22" t="n">
        <v>0.13</v>
      </c>
    </row>
    <row r="25" customFormat="false" ht="15" hidden="false" customHeight="false" outlineLevel="0" collapsed="false">
      <c r="A25" s="32" t="s">
        <v>68</v>
      </c>
      <c r="C25" s="22" t="n">
        <v>0.045</v>
      </c>
      <c r="D25" s="22" t="n">
        <v>0.035</v>
      </c>
      <c r="E25" s="22" t="n">
        <v>0.03</v>
      </c>
    </row>
    <row r="27" customFormat="false" ht="15" hidden="false" customHeight="false" outlineLevel="0" collapsed="false">
      <c r="A27" s="3" t="s">
        <v>69</v>
      </c>
      <c r="B27" s="4"/>
      <c r="C27" s="4"/>
      <c r="D27" s="4"/>
      <c r="E27" s="4"/>
      <c r="F27" s="4"/>
    </row>
    <row r="28" customFormat="false" ht="15" hidden="false" customHeight="false" outlineLevel="0" collapsed="false">
      <c r="A28" s="33" t="s">
        <v>70</v>
      </c>
      <c r="B28" s="33" t="s">
        <v>55</v>
      </c>
      <c r="C28" s="33" t="s">
        <v>56</v>
      </c>
      <c r="D28" s="33" t="s">
        <v>57</v>
      </c>
    </row>
    <row r="29" customFormat="false" ht="15" hidden="false" customHeight="false" outlineLevel="0" collapsed="false">
      <c r="A29" s="28" t="s">
        <v>71</v>
      </c>
      <c r="B29" s="34" t="n">
        <f aca="false">$B$11</f>
        <v>717.5</v>
      </c>
      <c r="C29" s="34" t="n">
        <f aca="false">$B$11</f>
        <v>717.5</v>
      </c>
      <c r="D29" s="34" t="n">
        <f aca="false">$B$11</f>
        <v>717.5</v>
      </c>
    </row>
    <row r="30" customFormat="false" ht="15" hidden="false" customHeight="false" outlineLevel="0" collapsed="false">
      <c r="A30" s="28" t="s">
        <v>72</v>
      </c>
      <c r="B30" s="13" t="n">
        <f aca="false">B29*(1+$C$16)</f>
        <v>861</v>
      </c>
      <c r="C30" s="13" t="n">
        <f aca="false">C29*(1+$D$16)</f>
        <v>810.775</v>
      </c>
      <c r="D30" s="13" t="n">
        <f aca="false">D29*(1+$E$16)</f>
        <v>782.075</v>
      </c>
    </row>
    <row r="31" customFormat="false" ht="15" hidden="false" customHeight="false" outlineLevel="0" collapsed="false">
      <c r="A31" s="28" t="s">
        <v>73</v>
      </c>
      <c r="B31" s="13" t="n">
        <f aca="false">B30*(1+$C$17)</f>
        <v>1015.98</v>
      </c>
      <c r="C31" s="13" t="n">
        <f aca="false">C30*(1+$D$17)</f>
        <v>908.068</v>
      </c>
      <c r="D31" s="13" t="n">
        <f aca="false">D30*(1+$E$17)</f>
        <v>836.82025</v>
      </c>
    </row>
    <row r="32" customFormat="false" ht="15" hidden="false" customHeight="false" outlineLevel="0" collapsed="false">
      <c r="A32" s="28" t="s">
        <v>74</v>
      </c>
      <c r="B32" s="13" t="n">
        <f aca="false">B31*(1+$C$18)</f>
        <v>1178.5368</v>
      </c>
      <c r="C32" s="13" t="n">
        <f aca="false">C31*(1+$D$18)</f>
        <v>1007.95548</v>
      </c>
      <c r="D32" s="13" t="n">
        <f aca="false">D31*(1+$E$18)</f>
        <v>887.029465</v>
      </c>
    </row>
    <row r="33" customFormat="false" ht="15" hidden="false" customHeight="false" outlineLevel="0" collapsed="false">
      <c r="A33" s="28" t="s">
        <v>75</v>
      </c>
      <c r="B33" s="13" t="n">
        <f aca="false">B32*(1+$C$19)</f>
        <v>1343.531952</v>
      </c>
      <c r="C33" s="13" t="n">
        <f aca="false">C32*(1+$D$19)</f>
        <v>1108.751028</v>
      </c>
      <c r="D33" s="13" t="n">
        <f aca="false">D32*(1+$E$19)</f>
        <v>931.38093825</v>
      </c>
    </row>
    <row r="35" customFormat="false" ht="15" hidden="false" customHeight="false" outlineLevel="0" collapsed="false">
      <c r="A35" s="3" t="s">
        <v>76</v>
      </c>
      <c r="B35" s="4"/>
      <c r="C35" s="4"/>
      <c r="D35" s="4"/>
      <c r="E35" s="4"/>
      <c r="F35" s="4"/>
    </row>
    <row r="36" customFormat="false" ht="15" hidden="false" customHeight="false" outlineLevel="0" collapsed="false">
      <c r="A36" s="33" t="s">
        <v>70</v>
      </c>
      <c r="B36" s="33" t="s">
        <v>55</v>
      </c>
      <c r="C36" s="33" t="s">
        <v>56</v>
      </c>
      <c r="D36" s="33" t="s">
        <v>57</v>
      </c>
    </row>
    <row r="37" customFormat="false" ht="15" hidden="false" customHeight="false" outlineLevel="0" collapsed="false">
      <c r="A37" s="28" t="s">
        <v>77</v>
      </c>
      <c r="B37" s="13" t="n">
        <f aca="false">B29*$C$20</f>
        <v>57.4</v>
      </c>
      <c r="C37" s="13" t="n">
        <f aca="false">C29*$D$20</f>
        <v>50.225</v>
      </c>
      <c r="D37" s="13" t="n">
        <f aca="false">D29*$E$20</f>
        <v>43.05</v>
      </c>
    </row>
    <row r="38" customFormat="false" ht="15" hidden="false" customHeight="false" outlineLevel="0" collapsed="false">
      <c r="A38" s="28" t="s">
        <v>78</v>
      </c>
      <c r="B38" s="13" t="n">
        <f aca="false">B30*$C$21</f>
        <v>111.93</v>
      </c>
      <c r="C38" s="13" t="n">
        <f aca="false">C30*$D$21</f>
        <v>81.0775</v>
      </c>
      <c r="D38" s="13" t="n">
        <f aca="false">D30*$E$21</f>
        <v>54.74525</v>
      </c>
    </row>
    <row r="39" customFormat="false" ht="15" hidden="false" customHeight="false" outlineLevel="0" collapsed="false">
      <c r="A39" s="28" t="s">
        <v>79</v>
      </c>
      <c r="B39" s="13" t="n">
        <f aca="false">B31*$C$22</f>
        <v>172.7166</v>
      </c>
      <c r="C39" s="13" t="n">
        <f aca="false">C31*$D$22</f>
        <v>118.04884</v>
      </c>
      <c r="D39" s="13" t="n">
        <f aca="false">D31*$E$22</f>
        <v>75.3138225</v>
      </c>
    </row>
    <row r="40" customFormat="false" ht="15" hidden="false" customHeight="false" outlineLevel="0" collapsed="false">
      <c r="A40" s="35" t="s">
        <v>80</v>
      </c>
      <c r="B40" s="13" t="n">
        <f aca="false">B32*$C$23</f>
        <v>259.278096</v>
      </c>
      <c r="C40" s="14" t="n">
        <f aca="false">B52</f>
        <v>24.161293690233</v>
      </c>
      <c r="D40" s="14" t="n">
        <f aca="false">C52</f>
        <v>12.5480023386519</v>
      </c>
      <c r="E40" s="36" t="n">
        <f aca="false">D52</f>
        <v>6.97215288321654</v>
      </c>
    </row>
    <row r="41" customFormat="false" ht="15" hidden="false" customHeight="false" outlineLevel="0" collapsed="false">
      <c r="A41" s="28" t="s">
        <v>81</v>
      </c>
      <c r="B41" s="13" t="n">
        <f aca="false">B33*$C$24</f>
        <v>349.31830752</v>
      </c>
      <c r="C41" s="13" t="n">
        <f aca="false">C33*$D$24</f>
        <v>210.66269532</v>
      </c>
      <c r="D41" s="13" t="n">
        <f aca="false">D33*$E$24</f>
        <v>121.0795219725</v>
      </c>
    </row>
    <row r="43" customFormat="false" ht="15" hidden="false" customHeight="false" outlineLevel="0" collapsed="false">
      <c r="A43" s="3" t="s">
        <v>82</v>
      </c>
      <c r="B43" s="4"/>
      <c r="C43" s="4"/>
      <c r="D43" s="4"/>
      <c r="E43" s="4"/>
      <c r="F43" s="4"/>
    </row>
    <row r="44" customFormat="false" ht="15" hidden="false" customHeight="false" outlineLevel="0" collapsed="false">
      <c r="A44" s="33" t="s">
        <v>83</v>
      </c>
      <c r="B44" s="33" t="s">
        <v>55</v>
      </c>
      <c r="C44" s="33" t="s">
        <v>56</v>
      </c>
      <c r="D44" s="33" t="s">
        <v>57</v>
      </c>
    </row>
    <row r="45" customFormat="false" ht="15" hidden="false" customHeight="false" outlineLevel="0" collapsed="false">
      <c r="A45" s="28" t="s">
        <v>84</v>
      </c>
      <c r="B45" s="13" t="n">
        <f aca="false">B37/(1+$C$15)^1+B38/(1+$C$15)^2+B39/(1+$C$15)^3+B40/(1+$C$15)^4+B41/(1+$C$15)^5</f>
        <v>646.943426257775</v>
      </c>
      <c r="C45" s="13" t="n">
        <f aca="false">C37/(1+$D$15)^1+C38/(1+$D$15)^2+C39/(1+$D$15)^3+C40/(1+$D$15)^4+C41/(1+$D$15)^5</f>
        <v>338.302208798888</v>
      </c>
      <c r="D45" s="13" t="n">
        <f aca="false">D37/(1+$E$15)^1+D38/(1+$E$15)^2+D39/(1+$E$15)^3+D40/(1+$E$15)^4+D41/(1+$E$15)^5</f>
        <v>218.405635621557</v>
      </c>
    </row>
    <row r="46" customFormat="false" ht="15" hidden="false" customHeight="false" outlineLevel="0" collapsed="false">
      <c r="A46" s="28" t="s">
        <v>85</v>
      </c>
      <c r="B46" s="13" t="n">
        <f aca="false">B41*(1+$C$25)/($C$15-$C$25)</f>
        <v>5615.96355936</v>
      </c>
      <c r="C46" s="13" t="n">
        <f aca="false">C41*(1+$D$25)/($D$15-$D$25)</f>
        <v>2907.145195416</v>
      </c>
      <c r="D46" s="13" t="n">
        <f aca="false">D41*(1+$E$25)/($E$15-$E$25)</f>
        <v>1558.89884539594</v>
      </c>
    </row>
    <row r="47" customFormat="false" ht="15" hidden="false" customHeight="false" outlineLevel="0" collapsed="false">
      <c r="A47" s="28" t="s">
        <v>86</v>
      </c>
      <c r="B47" s="13" t="n">
        <f aca="false">B46/(1+$C$15)^5</f>
        <v>3332.80103263066</v>
      </c>
      <c r="C47" s="13" t="n">
        <f aca="false">C46/(1+$D$15)^5</f>
        <v>1725.24917707868</v>
      </c>
      <c r="D47" s="13" t="n">
        <f aca="false">D46/(1+$E$15)^5</f>
        <v>925.130590109173</v>
      </c>
    </row>
    <row r="48" customFormat="false" ht="15" hidden="false" customHeight="false" outlineLevel="0" collapsed="false">
      <c r="A48" s="37" t="s">
        <v>87</v>
      </c>
      <c r="B48" s="13" t="n">
        <f aca="false">B45+B47</f>
        <v>3979.74445888844</v>
      </c>
      <c r="C48" s="13" t="n">
        <f aca="false">C45+C47</f>
        <v>2063.55138587757</v>
      </c>
      <c r="D48" s="13" t="n">
        <f aca="false">D45+D47</f>
        <v>1143.53622573073</v>
      </c>
    </row>
    <row r="49" customFormat="false" ht="15" hidden="false" customHeight="false" outlineLevel="0" collapsed="false">
      <c r="A49" s="28" t="s">
        <v>88</v>
      </c>
      <c r="B49" s="34" t="n">
        <f aca="false">Dashboard!$C$13</f>
        <v>6.86899999999997</v>
      </c>
      <c r="C49" s="34" t="n">
        <f aca="false">Dashboard!$C$13</f>
        <v>6.86899999999997</v>
      </c>
      <c r="D49" s="34" t="n">
        <f aca="false">Dashboard!$C$13</f>
        <v>6.86899999999997</v>
      </c>
    </row>
    <row r="50" customFormat="false" ht="15" hidden="false" customHeight="false" outlineLevel="0" collapsed="false">
      <c r="A50" s="37" t="s">
        <v>89</v>
      </c>
      <c r="B50" s="13" t="n">
        <f aca="false">B48+B49</f>
        <v>3986.61345888844</v>
      </c>
      <c r="C50" s="13" t="n">
        <f aca="false">C48+C49</f>
        <v>2070.42038587757</v>
      </c>
      <c r="D50" s="13" t="n">
        <f aca="false">D48+D49</f>
        <v>1150.40522573073</v>
      </c>
    </row>
    <row r="51" customFormat="false" ht="15" hidden="false" customHeight="false" outlineLevel="0" collapsed="false">
      <c r="A51" s="28" t="s">
        <v>90</v>
      </c>
      <c r="B51" s="38" t="n">
        <f aca="false">Dashboard!$C$9</f>
        <v>165</v>
      </c>
      <c r="C51" s="38" t="n">
        <f aca="false">Dashboard!$C$9</f>
        <v>165</v>
      </c>
      <c r="D51" s="38" t="n">
        <f aca="false">Dashboard!$C$9</f>
        <v>165</v>
      </c>
    </row>
    <row r="52" customFormat="false" ht="15" hidden="false" customHeight="false" outlineLevel="0" collapsed="false">
      <c r="A52" s="37" t="s">
        <v>91</v>
      </c>
      <c r="B52" s="39" t="n">
        <f aca="false">B50/B51</f>
        <v>24.161293690233</v>
      </c>
      <c r="C52" s="40" t="n">
        <f aca="false">C50/C51</f>
        <v>12.5480023386519</v>
      </c>
      <c r="D52" s="41" t="n">
        <f aca="false">D50/D51</f>
        <v>6.97215288321654</v>
      </c>
    </row>
    <row r="53" customFormat="false" ht="15" hidden="false" customHeight="false" outlineLevel="0" collapsed="false">
      <c r="A53" s="28" t="s">
        <v>92</v>
      </c>
      <c r="B53" s="16" t="n">
        <f aca="false">B52/Dashboard!$C$6-1</f>
        <v>0.202652747149475</v>
      </c>
      <c r="C53" s="16" t="n">
        <f aca="false">C52/Dashboard!$C$6-1</f>
        <v>-0.375410535656947</v>
      </c>
      <c r="D53" s="16" t="n">
        <f aca="false">D52/Dashboard!$C$6-1</f>
        <v>-0.652954062557663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95</v>
      </c>
      <c r="B4" s="4"/>
      <c r="C4" s="4"/>
      <c r="D4" s="4"/>
    </row>
    <row r="5" customFormat="false" ht="15" hidden="false" customHeight="false" outlineLevel="0" collapsed="false">
      <c r="A5" s="33" t="s">
        <v>96</v>
      </c>
      <c r="B5" s="33" t="s">
        <v>97</v>
      </c>
      <c r="C5" s="33" t="s">
        <v>98</v>
      </c>
      <c r="D5" s="33" t="s">
        <v>99</v>
      </c>
    </row>
    <row r="6" customFormat="false" ht="15" hidden="false" customHeight="false" outlineLevel="0" collapsed="false">
      <c r="A6" s="28" t="s">
        <v>100</v>
      </c>
      <c r="B6" s="42" t="n">
        <v>0.148</v>
      </c>
      <c r="C6" s="42" t="n">
        <v>0.073</v>
      </c>
      <c r="D6" s="43" t="n">
        <f aca="false">(B6+C6)*100</f>
        <v>22.1</v>
      </c>
    </row>
    <row r="7" customFormat="false" ht="15" hidden="false" customHeight="false" outlineLevel="0" collapsed="false">
      <c r="A7" s="28" t="s">
        <v>101</v>
      </c>
      <c r="B7" s="42" t="n">
        <v>0.148</v>
      </c>
      <c r="C7" s="42" t="n">
        <v>0.124</v>
      </c>
      <c r="D7" s="43" t="n">
        <f aca="false">(B7+C7)*100</f>
        <v>27.2</v>
      </c>
    </row>
    <row r="8" customFormat="false" ht="15" hidden="false" customHeight="false" outlineLevel="0" collapsed="false">
      <c r="A8" s="28" t="s">
        <v>102</v>
      </c>
      <c r="B8" s="42" t="n">
        <v>0.148</v>
      </c>
      <c r="C8" s="42" t="n">
        <v>0.036</v>
      </c>
      <c r="D8" s="43" t="n">
        <f aca="false">(B8+C8)*100</f>
        <v>18.4</v>
      </c>
    </row>
    <row r="9" customFormat="false" ht="15" hidden="false" customHeight="false" outlineLevel="0" collapsed="false">
      <c r="A9" s="5" t="s">
        <v>103</v>
      </c>
      <c r="C9" s="44" t="n">
        <f aca="false">D7</f>
        <v>27.2</v>
      </c>
    </row>
    <row r="11" customFormat="false" ht="15" hidden="false" customHeight="false" outlineLevel="0" collapsed="false">
      <c r="A11" s="3" t="s">
        <v>104</v>
      </c>
      <c r="B11" s="4"/>
      <c r="C11" s="4"/>
      <c r="D11" s="4"/>
    </row>
    <row r="12" customFormat="false" ht="15" hidden="false" customHeight="false" outlineLevel="0" collapsed="false">
      <c r="A12" s="33" t="s">
        <v>96</v>
      </c>
      <c r="B12" s="33" t="s">
        <v>97</v>
      </c>
      <c r="C12" s="33" t="s">
        <v>98</v>
      </c>
      <c r="D12" s="33" t="s">
        <v>99</v>
      </c>
    </row>
    <row r="13" customFormat="false" ht="15" hidden="false" customHeight="false" outlineLevel="0" collapsed="false">
      <c r="A13" s="28" t="s">
        <v>105</v>
      </c>
      <c r="B13" s="42" t="n">
        <v>0.2</v>
      </c>
      <c r="C13" s="42" t="n">
        <v>0.024</v>
      </c>
      <c r="D13" s="43" t="n">
        <f aca="false">(B13+C13)*100</f>
        <v>22.4</v>
      </c>
    </row>
    <row r="14" customFormat="false" ht="15" hidden="false" customHeight="false" outlineLevel="0" collapsed="false">
      <c r="A14" s="28" t="s">
        <v>106</v>
      </c>
      <c r="B14" s="42" t="n">
        <v>0.2</v>
      </c>
      <c r="C14" s="42" t="n">
        <v>0.17</v>
      </c>
      <c r="D14" s="43" t="n">
        <f aca="false">(B14+C14)*100</f>
        <v>37</v>
      </c>
    </row>
    <row r="15" customFormat="false" ht="15" hidden="false" customHeight="false" outlineLevel="0" collapsed="false">
      <c r="A15" s="28" t="s">
        <v>107</v>
      </c>
      <c r="B15" s="42" t="n">
        <v>0.2</v>
      </c>
      <c r="C15" s="42" t="n">
        <v>0.111</v>
      </c>
      <c r="D15" s="43" t="n">
        <f aca="false">(B15+C15)*100</f>
        <v>31.1</v>
      </c>
    </row>
    <row r="16" customFormat="false" ht="15" hidden="false" customHeight="false" outlineLevel="0" collapsed="false">
      <c r="A16" s="5" t="s">
        <v>108</v>
      </c>
      <c r="C16" s="45" t="n">
        <f aca="false">D14</f>
        <v>37</v>
      </c>
    </row>
    <row r="19" customFormat="false" ht="15" hidden="false" customHeight="false" outlineLevel="0" collapsed="false">
      <c r="A19" s="3" t="s">
        <v>109</v>
      </c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33" t="s">
        <v>110</v>
      </c>
      <c r="B20" s="33" t="s">
        <v>111</v>
      </c>
      <c r="C20" s="33" t="s">
        <v>112</v>
      </c>
      <c r="D20" s="33" t="s">
        <v>113</v>
      </c>
      <c r="E20" s="33" t="s">
        <v>99</v>
      </c>
      <c r="F20" s="33" t="s">
        <v>114</v>
      </c>
      <c r="G20" s="33" t="s">
        <v>115</v>
      </c>
    </row>
    <row r="21" customFormat="false" ht="15" hidden="false" customHeight="false" outlineLevel="0" collapsed="false">
      <c r="A21" s="11" t="s">
        <v>116</v>
      </c>
      <c r="B21" s="46" t="s">
        <v>117</v>
      </c>
      <c r="C21" s="47" t="n">
        <v>0.16</v>
      </c>
      <c r="D21" s="47" t="n">
        <v>0.1</v>
      </c>
      <c r="E21" s="48" t="n">
        <f aca="false">(C21+D21)*100</f>
        <v>26</v>
      </c>
      <c r="F21" s="49" t="n">
        <v>4.3</v>
      </c>
      <c r="G21" s="50" t="s">
        <v>118</v>
      </c>
    </row>
    <row r="22" customFormat="false" ht="15" hidden="false" customHeight="false" outlineLevel="0" collapsed="false">
      <c r="A22" s="28" t="s">
        <v>119</v>
      </c>
      <c r="B22" s="28" t="s">
        <v>120</v>
      </c>
      <c r="C22" s="22" t="n">
        <v>0.3</v>
      </c>
      <c r="D22" s="22" t="n">
        <v>0.12</v>
      </c>
      <c r="E22" s="51" t="n">
        <f aca="false">(C22+D22)*100</f>
        <v>42</v>
      </c>
      <c r="F22" s="52" t="n">
        <v>28</v>
      </c>
      <c r="G22" s="53" t="s">
        <v>121</v>
      </c>
    </row>
    <row r="23" customFormat="false" ht="15" hidden="false" customHeight="false" outlineLevel="0" collapsed="false">
      <c r="A23" s="28" t="s">
        <v>122</v>
      </c>
      <c r="B23" s="28" t="s">
        <v>123</v>
      </c>
      <c r="C23" s="22" t="n">
        <v>0.06</v>
      </c>
      <c r="D23" s="22" t="n">
        <v>0.22</v>
      </c>
      <c r="E23" s="51" t="n">
        <f aca="false">(C23+D23)*100</f>
        <v>28</v>
      </c>
      <c r="F23" s="52" t="n">
        <v>4.3</v>
      </c>
      <c r="G23" s="53" t="s">
        <v>124</v>
      </c>
    </row>
    <row r="24" customFormat="false" ht="15" hidden="false" customHeight="false" outlineLevel="0" collapsed="false">
      <c r="A24" s="28" t="s">
        <v>125</v>
      </c>
      <c r="B24" s="28" t="s">
        <v>126</v>
      </c>
      <c r="C24" s="22" t="n">
        <v>0.24</v>
      </c>
      <c r="D24" s="22" t="n">
        <v>0.27</v>
      </c>
      <c r="E24" s="51" t="n">
        <f aca="false">(C24+D24)*100</f>
        <v>51</v>
      </c>
      <c r="F24" s="52" t="n">
        <v>13</v>
      </c>
      <c r="G24" s="53" t="s">
        <v>127</v>
      </c>
    </row>
    <row r="25" customFormat="false" ht="15" hidden="false" customHeight="false" outlineLevel="0" collapsed="false">
      <c r="A25" s="28" t="s">
        <v>128</v>
      </c>
      <c r="B25" s="28" t="s">
        <v>129</v>
      </c>
      <c r="C25" s="22" t="n">
        <v>0.3</v>
      </c>
      <c r="D25" s="22" t="n">
        <v>0.12</v>
      </c>
      <c r="E25" s="51" t="n">
        <f aca="false">(C25+D25)*100</f>
        <v>42</v>
      </c>
      <c r="F25" s="52" t="n">
        <v>28</v>
      </c>
      <c r="G25" s="53" t="s">
        <v>130</v>
      </c>
    </row>
    <row r="26" customFormat="false" ht="15" hidden="false" customHeight="false" outlineLevel="0" collapsed="false">
      <c r="A26" s="28" t="s">
        <v>131</v>
      </c>
      <c r="B26" s="28" t="s">
        <v>129</v>
      </c>
      <c r="C26" s="22" t="n">
        <v>0.1</v>
      </c>
      <c r="D26" s="22" t="n">
        <v>0.18</v>
      </c>
      <c r="E26" s="51" t="n">
        <f aca="false">(C26+D26)*100</f>
        <v>28</v>
      </c>
      <c r="F26" s="52" t="n">
        <v>4</v>
      </c>
      <c r="G26" s="53" t="s">
        <v>132</v>
      </c>
    </row>
    <row r="27" customFormat="false" ht="15" hidden="false" customHeight="false" outlineLevel="0" collapsed="false">
      <c r="A27" s="28" t="s">
        <v>133</v>
      </c>
      <c r="B27" s="28" t="s">
        <v>129</v>
      </c>
      <c r="C27" s="54" t="s">
        <v>134</v>
      </c>
      <c r="D27" s="54" t="s">
        <v>134</v>
      </c>
      <c r="E27" s="54" t="s">
        <v>134</v>
      </c>
      <c r="F27" s="54" t="s">
        <v>134</v>
      </c>
      <c r="G27" s="53" t="s">
        <v>135</v>
      </c>
    </row>
    <row r="29" customFormat="false" ht="15" hidden="false" customHeight="false" outlineLevel="0" collapsed="false">
      <c r="A29" s="5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3" t="s">
        <v>139</v>
      </c>
      <c r="B4" s="4"/>
    </row>
    <row r="5" customFormat="false" ht="15" hidden="false" customHeight="false" outlineLevel="0" collapsed="false">
      <c r="A5" s="5" t="s">
        <v>3</v>
      </c>
      <c r="B5" s="9" t="n">
        <f aca="false">Dashboard!C6</f>
        <v>20.09</v>
      </c>
    </row>
    <row r="6" customFormat="false" ht="15" hidden="false" customHeight="false" outlineLevel="0" collapsed="false">
      <c r="A6" s="5" t="s">
        <v>140</v>
      </c>
      <c r="B6" s="6" t="n">
        <v>23.34</v>
      </c>
    </row>
    <row r="7" customFormat="false" ht="15" hidden="false" customHeight="false" outlineLevel="0" collapsed="false">
      <c r="A7" s="5" t="s">
        <v>141</v>
      </c>
      <c r="B7" s="6" t="n">
        <v>17.14</v>
      </c>
    </row>
    <row r="8" customFormat="false" ht="15" hidden="false" customHeight="false" outlineLevel="0" collapsed="false">
      <c r="A8" s="5" t="s">
        <v>142</v>
      </c>
      <c r="B8" s="9" t="n">
        <f aca="false">Model!D40</f>
        <v>12.5480023386519</v>
      </c>
    </row>
    <row r="9" customFormat="false" ht="15" hidden="false" customHeight="false" outlineLevel="0" collapsed="false">
      <c r="A9" s="5" t="s">
        <v>143</v>
      </c>
      <c r="B9" s="9" t="n">
        <f aca="false">Model!E40</f>
        <v>6.97215288321654</v>
      </c>
    </row>
    <row r="11" customFormat="false" ht="15" hidden="false" customHeight="false" outlineLevel="0" collapsed="false">
      <c r="A11" s="3" t="s">
        <v>144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33" t="s">
        <v>145</v>
      </c>
      <c r="B12" s="33" t="s">
        <v>146</v>
      </c>
      <c r="C12" s="33" t="s">
        <v>147</v>
      </c>
      <c r="D12" s="33" t="s">
        <v>148</v>
      </c>
      <c r="E12" s="33" t="s">
        <v>149</v>
      </c>
      <c r="F12" s="33" t="s">
        <v>150</v>
      </c>
    </row>
    <row r="13" customFormat="false" ht="57.75" hidden="false" customHeight="true" outlineLevel="0" collapsed="false">
      <c r="A13" s="56" t="s">
        <v>151</v>
      </c>
      <c r="B13" s="57" t="s">
        <v>152</v>
      </c>
      <c r="C13" s="57" t="s">
        <v>153</v>
      </c>
      <c r="D13" s="57" t="s">
        <v>154</v>
      </c>
      <c r="E13" s="57" t="s">
        <v>155</v>
      </c>
      <c r="F13" s="57" t="s">
        <v>156</v>
      </c>
    </row>
    <row r="14" customFormat="false" ht="57.75" hidden="false" customHeight="true" outlineLevel="0" collapsed="false">
      <c r="A14" s="56" t="s">
        <v>157</v>
      </c>
      <c r="B14" s="57" t="s">
        <v>158</v>
      </c>
      <c r="C14" s="57" t="s">
        <v>159</v>
      </c>
      <c r="D14" s="57" t="s">
        <v>160</v>
      </c>
      <c r="E14" s="57" t="s">
        <v>161</v>
      </c>
      <c r="F14" s="57" t="s">
        <v>162</v>
      </c>
    </row>
    <row r="15" customFormat="false" ht="57.75" hidden="false" customHeight="true" outlineLevel="0" collapsed="false">
      <c r="A15" s="56" t="s">
        <v>163</v>
      </c>
      <c r="B15" s="57" t="s">
        <v>164</v>
      </c>
      <c r="C15" s="57" t="s">
        <v>165</v>
      </c>
      <c r="D15" s="57" t="s">
        <v>166</v>
      </c>
      <c r="E15" s="57" t="s">
        <v>167</v>
      </c>
      <c r="F15" s="57" t="s">
        <v>168</v>
      </c>
    </row>
    <row r="17" customFormat="false" ht="15" hidden="false" customHeight="false" outlineLevel="0" collapsed="false">
      <c r="A17" s="26" t="s">
        <v>169</v>
      </c>
    </row>
    <row r="18" customFormat="false" ht="15" hidden="false" customHeight="false" outlineLevel="0" collapsed="false">
      <c r="A18" s="55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2026-06-08T19:47:57Z</dcterms:created>
  <dc:creator>openpyxl</dc:creator>
  <dc:description/>
  <dc:language>en-US</dc:language>
  <cp:lastModifiedBy/>
  <dcterms:modified xsi:type="dcterms:W3CDTF">2026-06-08T19:47:57Z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