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el" sheetId="2" state="visible" r:id="rId4"/>
    <sheet name="Rule_of_40" sheetId="3" state="visible" r:id="rId5"/>
    <sheet name="Options_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Close Aug 10, 2026 (stockanalysis.com; +20.9% on Q2 results/raised guidance)</t>
        </r>
      </text>
    </comment>
    <comment ref="C7" authorId="0">
      <text>
        <r>
          <rPr>
            <sz val="10"/>
            <rFont val="Arial"/>
            <family val="2"/>
          </rPr>
          <t xml:space="preserve">stockanalysis.com, Aug 11 2026</t>
        </r>
      </text>
    </comment>
    <comment ref="C8" authorId="0">
      <text>
        <r>
          <rPr>
            <sz val="10"/>
            <rFont val="Arial"/>
            <family val="2"/>
          </rPr>
          <t xml:space="preserve">stockanalysis.com, Aug 11 2026</t>
        </r>
      </text>
    </comment>
    <comment ref="C9" authorId="0">
      <text>
        <r>
          <rPr>
            <sz val="10"/>
            <rFont val="Arial"/>
            <family val="2"/>
          </rPr>
          <t xml:space="preserve">Q2 2026 press release non-GAAP diluted weighted shares; prior model used 165M — updated for dilution realism</t>
        </r>
      </text>
    </comment>
    <comment ref="C11" authorId="0">
      <text>
        <r>
          <rPr>
            <sz val="10"/>
            <rFont val="Arial"/>
            <family val="2"/>
          </rPr>
          <t xml:space="preserve">Q2 2026 press release: cash $89.8M + marketable securities $247.7M</t>
        </r>
      </text>
    </comment>
    <comment ref="C12" authorId="0">
      <text>
        <r>
          <rPr>
            <sz val="10"/>
            <rFont val="Arial"/>
            <family val="2"/>
          </rPr>
          <t xml:space="preserve">Q2 2026 balance sheet: convertible notes</t>
        </r>
      </text>
    </comment>
    <comment ref="C17" authorId="0">
      <text>
        <r>
          <rPr>
            <sz val="10"/>
            <rFont val="Arial"/>
            <family val="2"/>
          </rPr>
          <t xml:space="preserve">Q2 2026 press release, Aug 5 2026</t>
        </r>
      </text>
    </comment>
    <comment ref="C18" authorId="0">
      <text>
        <r>
          <rPr>
            <sz val="10"/>
            <rFont val="Arial"/>
            <family val="2"/>
          </rPr>
          <t xml:space="preserve">Q2 2026 press release</t>
        </r>
      </text>
    </comment>
    <comment ref="C19" authorId="0">
      <text>
        <r>
          <rPr>
            <sz val="10"/>
            <rFont val="Arial"/>
            <family val="2"/>
          </rPr>
          <t xml:space="preserve">Q2 2026 press release</t>
        </r>
      </text>
    </comment>
    <comment ref="C20" authorId="0">
      <text>
        <r>
          <rPr>
            <sz val="10"/>
            <rFont val="Arial"/>
            <family val="2"/>
          </rPr>
          <t xml:space="preserve">Q2 2026 press release</t>
        </r>
      </text>
    </comment>
    <comment ref="C21" authorId="0">
      <text>
        <r>
          <rPr>
            <sz val="10"/>
            <rFont val="Arial"/>
            <family val="2"/>
          </rPr>
          <t xml:space="preserve">Q2 2026 press release</t>
        </r>
      </text>
    </comment>
    <comment ref="C22" authorId="0">
      <text>
        <r>
          <rPr>
            <sz val="10"/>
            <rFont val="Arial"/>
            <family val="2"/>
          </rPr>
          <t xml:space="preserve">Q2 2026 press release (vs 54.5% PY)</t>
        </r>
      </text>
    </comment>
    <comment ref="C23" authorId="0">
      <text>
        <r>
          <rPr>
            <sz val="10"/>
            <rFont val="Arial"/>
            <family val="2"/>
          </rPr>
          <t xml:space="preserve">Q2 2026 press release (vs 59.0% PY)</t>
        </r>
      </text>
    </comment>
    <comment ref="C24" authorId="0">
      <text>
        <r>
          <rPr>
            <sz val="10"/>
            <rFont val="Arial"/>
            <family val="2"/>
          </rPr>
          <t xml:space="preserve">$27.0M non-GAAP op income / $183.3M</t>
        </r>
      </text>
    </comment>
    <comment ref="C25" authorId="0">
      <text>
        <r>
          <rPr>
            <sz val="10"/>
            <rFont val="Arial"/>
            <family val="2"/>
          </rPr>
          <t xml:space="preserve">$38.1M adj. EBITDA / $183.3M</t>
        </r>
      </text>
    </comment>
    <comment ref="C26" authorId="0">
      <text>
        <r>
          <rPr>
            <sz val="10"/>
            <rFont val="Arial"/>
            <family val="2"/>
          </rPr>
          <t xml:space="preserve">OCF $39.3M − capex $35.8M = FCF $3.6M</t>
        </r>
      </text>
    </comment>
    <comment ref="C27" authorId="0">
      <text>
        <r>
          <rPr>
            <sz val="10"/>
            <rFont val="Arial"/>
            <family val="2"/>
          </rPr>
          <t xml:space="preserve">Q2 2026 press release — highest in 3+ years (Q1: 113%)</t>
        </r>
      </text>
    </comment>
    <comment ref="C28" authorId="0">
      <text>
        <r>
          <rPr>
            <sz val="10"/>
            <rFont val="Arial"/>
            <family val="2"/>
          </rPr>
          <t xml:space="preserve">+38% YoY but down from $369M in Q1 2026 — watch item</t>
        </r>
      </text>
    </comment>
    <comment ref="C29" authorId="0">
      <text>
        <r>
          <rPr>
            <sz val="10"/>
            <rFont val="Arial"/>
            <family val="2"/>
          </rPr>
          <t xml:space="preserve">vs 31% prior year — concentration rising</t>
        </r>
      </text>
    </comment>
    <comment ref="F12" authorId="0">
      <text>
        <r>
          <rPr>
            <sz val="10"/>
            <rFont val="Arial"/>
            <family val="2"/>
          </rPr>
          <t xml:space="preserve">FY26 guidance $732–746M midpoint, raised Aug 5 2026 from $710–725M</t>
        </r>
      </text>
    </comment>
    <comment ref="F14" authorId="0">
      <text>
        <r>
          <rPr>
            <sz val="10"/>
            <rFont val="Arial"/>
            <family val="2"/>
          </rPr>
          <t xml:space="preserve">FY26 guidance $88–96M midpoint, raised from $58–68M — margin revision +370bps (material)</t>
        </r>
      </text>
    </comment>
    <comment ref="F20" authorId="0">
      <text>
        <r>
          <rPr>
            <sz val="10"/>
            <rFont val="Arial"/>
            <family val="2"/>
          </rPr>
          <t xml:space="preserve">Estimated — stock gapped +21% Aug 10</t>
        </r>
      </text>
    </comment>
    <comment ref="F21" authorId="0">
      <text>
        <r>
          <rPr>
            <sz val="10"/>
            <rFont val="Arial"/>
            <family val="2"/>
          </rPr>
          <t xml:space="preserve">stockanalysis.com, Aug 11 2026</t>
        </r>
      </text>
    </comment>
    <comment ref="F22" authorId="0">
      <text>
        <r>
          <rPr>
            <sz val="10"/>
            <rFont val="Arial"/>
            <family val="2"/>
          </rPr>
          <t xml:space="preserve">stockanalysis.com, Aug 11 2026</t>
        </r>
      </text>
    </comment>
    <comment ref="F23" authorId="0">
      <text>
        <r>
          <rPr>
            <sz val="10"/>
            <rFont val="Arial"/>
            <family val="2"/>
          </rPr>
          <t xml:space="preserve">stockanalysis.com, Aug 11 2026 — overbought</t>
        </r>
      </text>
    </comment>
    <comment ref="F24" authorId="0">
      <text>
        <r>
          <rPr>
            <sz val="10"/>
            <rFont val="Arial"/>
            <family val="2"/>
          </rPr>
          <t xml:space="preserve">25.5M shares short — squeeze fuel in the +21% move</t>
        </r>
      </text>
    </comment>
    <comment ref="F25" authorId="0">
      <text>
        <r>
          <rPr>
            <sz val="10"/>
            <rFont val="Arial"/>
            <family val="2"/>
          </rPr>
          <t xml:space="preserve">Post-earnings +21% gap; favorable for premium selling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FY2024 10-K</t>
        </r>
      </text>
    </comment>
    <comment ref="B6" authorId="0">
      <text>
        <r>
          <rPr>
            <sz val="10"/>
            <rFont val="Arial"/>
            <family val="2"/>
          </rPr>
          <t xml:space="preserve">FY2025 10-K / Feb 11 2026 8-K</t>
        </r>
      </text>
    </comment>
    <comment ref="B7" authorId="0">
      <text>
        <r>
          <rPr>
            <sz val="10"/>
            <rFont val="Arial"/>
            <family val="2"/>
          </rPr>
          <t xml:space="preserve">FY2025 results</t>
        </r>
      </text>
    </comment>
    <comment ref="B8" authorId="0">
      <text>
        <r>
          <rPr>
            <sz val="10"/>
            <rFont val="Arial"/>
            <family val="2"/>
          </rPr>
          <t xml:space="preserve">Q1+Q2 2026 press releases</t>
        </r>
      </text>
    </comment>
    <comment ref="B9" authorId="0">
      <text>
        <r>
          <rPr>
            <sz val="10"/>
            <rFont val="Arial"/>
            <family val="2"/>
          </rPr>
          <t xml:space="preserve">Q1 $4.2M (est.) + Q2 $3.6M</t>
        </r>
      </text>
    </comment>
    <comment ref="B10" authorId="0">
      <text>
        <r>
          <rPr>
            <sz val="10"/>
            <rFont val="Arial"/>
            <family val="2"/>
          </rPr>
          <t xml:space="preserve">FY26 guidance $732–746M midpoint (raised Aug 5 2026)</t>
        </r>
      </text>
    </comment>
    <comment ref="B15" authorId="0">
      <text>
        <r>
          <rPr>
            <sz val="10"/>
            <rFont val="Arial"/>
            <family val="2"/>
          </rPr>
          <t xml:space="preserve">Held at 11% per single-WACC rule (unchanged from 2026-06-08 analysis)</t>
        </r>
      </text>
    </comment>
    <comment ref="B16" authorId="0">
      <text>
        <r>
          <rPr>
            <sz val="10"/>
            <rFont val="Arial"/>
            <family val="2"/>
          </rPr>
          <t xml:space="preserve">Base raised 13%→14%: NRR 117% (from 113%) + RPO +38% support durability; bull/bear unchanged</t>
        </r>
      </text>
    </comment>
    <comment ref="B17" authorId="0">
      <text>
        <r>
          <rPr>
            <sz val="10"/>
            <rFont val="Arial"/>
            <family val="2"/>
          </rPr>
          <t xml:space="preserve">Base raised 12%→13%</t>
        </r>
      </text>
    </comment>
    <comment ref="B18" authorId="0">
      <text>
        <r>
          <rPr>
            <sz val="10"/>
            <rFont val="Arial"/>
            <family val="2"/>
          </rPr>
          <t xml:space="preserve">Base raised 11%→12%</t>
        </r>
      </text>
    </comment>
    <comment ref="B19" authorId="0">
      <text>
        <r>
          <rPr>
            <sz val="10"/>
            <rFont val="Arial"/>
            <family val="2"/>
          </rPr>
          <t xml:space="preserve">Base raised 10%→11%</t>
        </r>
      </text>
    </comment>
    <comment ref="B20" authorId="0">
      <text>
        <r>
          <rPr>
            <sz val="10"/>
            <rFont val="Arial"/>
            <family val="2"/>
          </rPr>
          <t xml:space="preserve">H1'26 FCF only $7.8M on heavy capex; guided OI margin 12.4% implies H2 FCF catch-up</t>
        </r>
      </text>
    </comment>
    <comment ref="B24" authorId="0">
      <text>
        <r>
          <rPr>
            <sz val="10"/>
            <rFont val="Arial"/>
            <family val="2"/>
          </rPr>
          <t xml:space="preserve">Bull 26%→27%, base 19%→20%: FY26 op-income guide raised +370bps validates faster leverage</t>
        </r>
      </text>
    </comment>
    <comment ref="B25" authorId="0">
      <text>
        <r>
          <rPr>
            <sz val="10"/>
            <rFont val="Arial"/>
            <family val="2"/>
          </rPr>
          <t xml:space="preserve">Unchanged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FY2025 actuals</t>
        </r>
      </text>
    </comment>
    <comment ref="B7" authorId="0">
      <text>
        <r>
          <rPr>
            <sz val="10"/>
            <rFont val="Arial"/>
            <family val="2"/>
          </rPr>
          <t xml:space="preserve">FY2025 actuals</t>
        </r>
      </text>
    </comment>
    <comment ref="B8" authorId="0">
      <text>
        <r>
          <rPr>
            <sz val="10"/>
            <rFont val="Arial"/>
            <family val="2"/>
          </rPr>
          <t xml:space="preserve">Q1 2026 actuals</t>
        </r>
      </text>
    </comment>
    <comment ref="B9" authorId="0">
      <text>
        <r>
          <rPr>
            <sz val="10"/>
            <rFont val="Arial"/>
            <family val="2"/>
          </rPr>
          <t xml:space="preserve">Q2 2026: FCF $3.6M / $183.3M</t>
        </r>
      </text>
    </comment>
    <comment ref="B10" authorId="0">
      <text>
        <r>
          <rPr>
            <sz val="10"/>
            <rFont val="Arial"/>
            <family val="2"/>
          </rPr>
          <t xml:space="preserve">Q2 2026: $27.0M / $183.3M</t>
        </r>
      </text>
    </comment>
    <comment ref="B11" authorId="0">
      <text>
        <r>
          <rPr>
            <sz val="10"/>
            <rFont val="Arial"/>
            <family val="2"/>
          </rPr>
          <t xml:space="preserve">Q2 2026: $38.1M / $183.3M</t>
        </r>
      </text>
    </comment>
    <comment ref="B12" authorId="0">
      <text>
        <r>
          <rPr>
            <sz val="10"/>
            <rFont val="Arial"/>
            <family val="2"/>
          </rPr>
          <t xml:space="preserve">FY26 guidance midpoints: rev $739M, OI $92M</t>
        </r>
      </text>
    </comment>
    <comment ref="B37" authorId="0">
      <text>
        <r>
          <rPr>
            <sz val="10"/>
            <rFont val="Arial"/>
            <family val="2"/>
          </rPr>
          <t xml:space="preserve">Judgment input — 0/5/10 scale per leadership_scorecard.md</t>
        </r>
      </text>
    </comment>
    <comment ref="B38" authorId="0">
      <text>
        <r>
          <rPr>
            <sz val="10"/>
            <rFont val="Arial"/>
            <family val="2"/>
          </rPr>
          <t xml:space="preserve">Judgment input — 0/5/10 scale per leadership_scorecard.md</t>
        </r>
      </text>
    </comment>
    <comment ref="B39" authorId="0">
      <text>
        <r>
          <rPr>
            <sz val="10"/>
            <rFont val="Arial"/>
            <family val="2"/>
          </rPr>
          <t xml:space="preserve">Judgment input — 0/5/10 scale per leadership_scorecard.md</t>
        </r>
      </text>
    </comment>
    <comment ref="B40" authorId="0">
      <text>
        <r>
          <rPr>
            <sz val="10"/>
            <rFont val="Arial"/>
            <family val="2"/>
          </rPr>
          <t xml:space="preserve">Judgment input — 0/5/10 scale per leadership_scorecard.md</t>
        </r>
      </text>
    </comment>
    <comment ref="B41" authorId="0">
      <text>
        <r>
          <rPr>
            <sz val="10"/>
            <rFont val="Arial"/>
            <family val="2"/>
          </rPr>
          <t xml:space="preserve">Judgment input — 0/5/10 scale per leadership_scorecard.md</t>
        </r>
      </text>
    </comment>
    <comment ref="C21" authorId="0">
      <text>
        <r>
          <rPr>
            <sz val="10"/>
            <rFont val="Arial"/>
            <family val="2"/>
          </rPr>
          <t xml:space="preserve">Approximate analyst estimates, Aug 2026</t>
        </r>
      </text>
    </comment>
    <comment ref="C22" authorId="0">
      <text>
        <r>
          <rPr>
            <sz val="10"/>
            <rFont val="Arial"/>
            <family val="2"/>
          </rPr>
          <t xml:space="preserve">Approximate analyst estimates, Aug 2026</t>
        </r>
      </text>
    </comment>
    <comment ref="C23" authorId="0">
      <text>
        <r>
          <rPr>
            <sz val="10"/>
            <rFont val="Arial"/>
            <family val="2"/>
          </rPr>
          <t xml:space="preserve">Approximate analyst estimates, Aug 2026</t>
        </r>
      </text>
    </comment>
    <comment ref="C24" authorId="0">
      <text>
        <r>
          <rPr>
            <sz val="10"/>
            <rFont val="Arial"/>
            <family val="2"/>
          </rPr>
          <t xml:space="preserve">Approximate analyst estimates, Aug 2026</t>
        </r>
      </text>
    </comment>
    <comment ref="C25" authorId="0">
      <text>
        <r>
          <rPr>
            <sz val="10"/>
            <rFont val="Arial"/>
            <family val="2"/>
          </rPr>
          <t xml:space="preserve">Approximate analyst estimates, Aug 2026</t>
        </r>
      </text>
    </comment>
    <comment ref="C26" authorId="0">
      <text>
        <r>
          <rPr>
            <sz val="10"/>
            <rFont val="Arial"/>
            <family val="2"/>
          </rPr>
          <t xml:space="preserve">Approximate analyst estimates, Aug 2026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May 2026 peak zone $32.36–34.82</t>
        </r>
      </text>
    </comment>
  </commentList>
</comments>
</file>

<file path=xl/sharedStrings.xml><?xml version="1.0" encoding="utf-8"?>
<sst xmlns="http://schemas.openxmlformats.org/spreadsheetml/2006/main" count="219" uniqueCount="201">
  <si>
    <t xml:space="preserve">FASTLY, INC. (NASDAQ: FSLY) — INVESTMENT DASHBOARD</t>
  </si>
  <si>
    <t xml:space="preserve">Analysis date: August 11, 2026  |  Analyst: Ed  |  Rating: HOLD — Trim into strength; do not add  |  Vehicle: Long equity (holds shares)</t>
  </si>
  <si>
    <t xml:space="preserve">MARKET SNAPSHOT</t>
  </si>
  <si>
    <t xml:space="preserve">VALUATION SUMMARY</t>
  </si>
  <si>
    <t xml:space="preserve">Current Price</t>
  </si>
  <si>
    <t xml:space="preserve">DCF Bull Case / share</t>
  </si>
  <si>
    <t xml:space="preserve">52-Week Range</t>
  </si>
  <si>
    <t xml:space="preserve">$6.70 – $34.82</t>
  </si>
  <si>
    <t xml:space="preserve">DCF Base Case / share</t>
  </si>
  <si>
    <t xml:space="preserve">Shares Outstanding (M)</t>
  </si>
  <si>
    <t xml:space="preserve">DCF Bear Case / share</t>
  </si>
  <si>
    <t xml:space="preserve">Diluted Shares — valuation (M)</t>
  </si>
  <si>
    <t xml:space="preserve">Market Cap ($M)</t>
  </si>
  <si>
    <t xml:space="preserve">Current vs Bull Case</t>
  </si>
  <si>
    <t xml:space="preserve">Cash + Marketable Securities ($M)</t>
  </si>
  <si>
    <t xml:space="preserve">Base Case vs Current</t>
  </si>
  <si>
    <t xml:space="preserve">Total Debt — convertible notes ($M)</t>
  </si>
  <si>
    <t xml:space="preserve">FY2026 Guided Revenue ($M, mid)</t>
  </si>
  <si>
    <t xml:space="preserve">Net Cash ($M)</t>
  </si>
  <si>
    <t xml:space="preserve">FY2026 Rev Growth (guidance)</t>
  </si>
  <si>
    <t xml:space="preserve">Enterprise Value ($M)</t>
  </si>
  <si>
    <t xml:space="preserve">FY2026 Non-GAAP Op Inc ($M, mid)</t>
  </si>
  <si>
    <t xml:space="preserve">EV / FY26 Revenue</t>
  </si>
  <si>
    <t xml:space="preserve">FUNDAMENTALS (Most Recent Quarter — Q2 2026)</t>
  </si>
  <si>
    <t xml:space="preserve">Rule of 40 (Q2 2026, EBITDA basis)</t>
  </si>
  <si>
    <t xml:space="preserve">Q2 2026 Revenue ($M)</t>
  </si>
  <si>
    <t xml:space="preserve">Rule of 40 (FY2025, EBITDA basis)</t>
  </si>
  <si>
    <t xml:space="preserve">Revenue Growth (YoY)</t>
  </si>
  <si>
    <t xml:space="preserve">Security Revenue ($M) / Growth</t>
  </si>
  <si>
    <t xml:space="preserve">  $41.7M  +43%</t>
  </si>
  <si>
    <t xml:space="preserve">TECHNICAL LEVELS</t>
  </si>
  <si>
    <t xml:space="preserve">Network Services ($M) / Growth</t>
  </si>
  <si>
    <t xml:space="preserve">  $133.9M  +17%</t>
  </si>
  <si>
    <t xml:space="preserve">20-Day SMA (est.)</t>
  </si>
  <si>
    <t xml:space="preserve">Other — Compute &amp; Observability</t>
  </si>
  <si>
    <t xml:space="preserve">  $7.7M  +69%</t>
  </si>
  <si>
    <t xml:space="preserve">50-Day SMA</t>
  </si>
  <si>
    <t xml:space="preserve">GAAP Gross Margin</t>
  </si>
  <si>
    <t xml:space="preserve">200-Day SMA</t>
  </si>
  <si>
    <t xml:space="preserve">Non-GAAP Gross Margin</t>
  </si>
  <si>
    <t xml:space="preserve">RSI (14)</t>
  </si>
  <si>
    <t xml:space="preserve">Non-GAAP Operating Margin</t>
  </si>
  <si>
    <t xml:space="preserve">Short % of Float</t>
  </si>
  <si>
    <t xml:space="preserve">Adj. EBITDA Margin</t>
  </si>
  <si>
    <t xml:space="preserve">Implied Volatility</t>
  </si>
  <si>
    <t xml:space="preserve">Elevated (post-spike)</t>
  </si>
  <si>
    <t xml:space="preserve">FCF Margin (Q2 — heavy capex)</t>
  </si>
  <si>
    <t xml:space="preserve">LTM Net Retention Rate</t>
  </si>
  <si>
    <t xml:space="preserve">Total RPO ($M) — note seq. decline</t>
  </si>
  <si>
    <t xml:space="preserve">Top-10 Customer Concentration</t>
  </si>
  <si>
    <t xml:space="preserve">Color key: blue = hardcoded input | black = formula | green = cross-sheet link. Sources: Fastly Q2 2026 press release (Aug 5, 2026); stockanalysis.com (Aug 11, 2026). Not investment advice.</t>
  </si>
  <si>
    <t xml:space="preserve">FSLY — DCF VALUATION MODEL (5-Year FCF, Gordon Growth Terminal)</t>
  </si>
  <si>
    <t xml:space="preserve">SINGLE WACC across all scenarios (mandatory). Only growth, FCF margin &amp; terminal growth vary. Updated for Q2 2026 results + raised FY26 guidance.</t>
  </si>
  <si>
    <t xml:space="preserve">HISTORICAL &amp; BASE ($M)</t>
  </si>
  <si>
    <t xml:space="preserve">FY2024 Revenue</t>
  </si>
  <si>
    <t xml:space="preserve">FY2025 Revenue</t>
  </si>
  <si>
    <t xml:space="preserve">FY2025 Free Cash Flow</t>
  </si>
  <si>
    <t xml:space="preserve">H1 2026 Revenue (Q1 $173.0 + Q2 $183.3)</t>
  </si>
  <si>
    <t xml:space="preserve">H1 2026 FCF (heavy capex cycle)</t>
  </si>
  <si>
    <t xml:space="preserve">FY2026 Guided Revenue (Yr1 base, mid)</t>
  </si>
  <si>
    <t xml:space="preserve">ASSUMPTIONS</t>
  </si>
  <si>
    <t xml:space="preserve">Assumption</t>
  </si>
  <si>
    <t xml:space="preserve">Bull</t>
  </si>
  <si>
    <t xml:space="preserve">Base</t>
  </si>
  <si>
    <t xml:space="preserve">Bear</t>
  </si>
  <si>
    <t xml:space="preserve">WACC (single, all scenarios)</t>
  </si>
  <si>
    <t xml:space="preserve">Yr2 Revenue Growth (FY2027)</t>
  </si>
  <si>
    <t xml:space="preserve">Yr3 Revenue Growth</t>
  </si>
  <si>
    <t xml:space="preserve">Yr4 Revenue Growth</t>
  </si>
  <si>
    <t xml:space="preserve">Yr5 Revenue Growth</t>
  </si>
  <si>
    <t xml:space="preserve">Yr1 FCF Margin (FY2026)</t>
  </si>
  <si>
    <t xml:space="preserve">Yr2 FCF Margin</t>
  </si>
  <si>
    <t xml:space="preserve">Yr3 FCF Margin</t>
  </si>
  <si>
    <t xml:space="preserve">Yr4 FCF Margin</t>
  </si>
  <si>
    <t xml:space="preserve">Yr5 FCF Margin (terminal)</t>
  </si>
  <si>
    <t xml:space="preserve">Terminal Growth Rate</t>
  </si>
  <si>
    <t xml:space="preserve">PROJECTIONS — REVENUE ($M)</t>
  </si>
  <si>
    <t xml:space="preserve">Year</t>
  </si>
  <si>
    <t xml:space="preserve">Yr1 (FY2026, guided)</t>
  </si>
  <si>
    <t xml:space="preserve">Yr2 (FY2027)</t>
  </si>
  <si>
    <t xml:space="preserve">Yr3 (FY2028)</t>
  </si>
  <si>
    <t xml:space="preserve">Yr4 (FY2029)</t>
  </si>
  <si>
    <t xml:space="preserve">Yr5 (FY2030)</t>
  </si>
  <si>
    <t xml:space="preserve">PROJECTIONS — FREE CASH FLOW ($M)</t>
  </si>
  <si>
    <t xml:space="preserve">Yr1 FCF</t>
  </si>
  <si>
    <t xml:space="preserve">Yr2 FCF</t>
  </si>
  <si>
    <t xml:space="preserve">Yr3 FCF</t>
  </si>
  <si>
    <t xml:space="preserve">Yr4 FCF</t>
  </si>
  <si>
    <t xml:space="preserve">Yr5 FCF</t>
  </si>
  <si>
    <t xml:space="preserve">DCF WATERFALL</t>
  </si>
  <si>
    <t xml:space="preserve">Item</t>
  </si>
  <si>
    <t xml:space="preserve">PV of 5-Yr FCF</t>
  </si>
  <si>
    <t xml:space="preserve">Terminal Value (Gordon Growth)</t>
  </si>
  <si>
    <t xml:space="preserve">PV of Terminal Value</t>
  </si>
  <si>
    <t xml:space="preserve">Enterprise Value</t>
  </si>
  <si>
    <t xml:space="preserve">+ Net Cash</t>
  </si>
  <si>
    <t xml:space="preserve">Equity Value</t>
  </si>
  <si>
    <t xml:space="preserve">Diluted Shares (M)</t>
  </si>
  <si>
    <t xml:space="preserve">INTRINSIC PRICE / SHARE</t>
  </si>
  <si>
    <t xml:space="preserve">Upside/(Downside) vs Current</t>
  </si>
  <si>
    <t xml:space="preserve">Prior analysis (2026-06-08, 165M shares, $717.5M Yr1 base): Bull $24.16 / Base $12.55 / Bear $6.97. Current model uses 180.3M diluted shares and $739M Yr1 base.</t>
  </si>
  <si>
    <t xml:space="preserve">Note: prior model's base/bear Yr4 FCF cells were overwritten by dashboard link cells (row-40 kludge), slightly understating base/bear. Fixed in this build — dashboard links directly to B52:D52.</t>
  </si>
  <si>
    <t xml:space="preserve">FSLY — RULE OF 40 ANALYSIS</t>
  </si>
  <si>
    <t xml:space="preserve">Rule of 40 = Revenue Growth % + Profitability Margin %.  &gt;40 healthy, &gt;60 exceptional.</t>
  </si>
  <si>
    <t xml:space="preserve">FSLY SCORECARD — TREND</t>
  </si>
  <si>
    <t xml:space="preserve">Basis</t>
  </si>
  <si>
    <t xml:space="preserve">Growth %</t>
  </si>
  <si>
    <t xml:space="preserve">Margin %</t>
  </si>
  <si>
    <t xml:space="preserve">Rule of 40</t>
  </si>
  <si>
    <t xml:space="preserve">FY2025 — FCF margin</t>
  </si>
  <si>
    <t xml:space="preserve">FY2025 — Adj. EBITDA margin</t>
  </si>
  <si>
    <t xml:space="preserve">Q1 2026 — Adj. EBITDA margin</t>
  </si>
  <si>
    <t xml:space="preserve">Q2 2026 — FCF margin (capex-heavy)</t>
  </si>
  <si>
    <t xml:space="preserve">Q2 2026 — Non-GAAP op margin</t>
  </si>
  <si>
    <t xml:space="preserve">Q2 2026 — Adj. EBITDA margin</t>
  </si>
  <si>
    <t xml:space="preserve">FY2026 guided — Non-GAAP op margin</t>
  </si>
  <si>
    <t xml:space="preserve">HEADLINES</t>
  </si>
  <si>
    <t xml:space="preserve">Q2 2026 headline R40 (adj. EBITDA basis) — FIRST CROSS ABOVE 40</t>
  </si>
  <si>
    <t xml:space="preserve">FY2025 headline R40 (adj. EBITDA basis)</t>
  </si>
  <si>
    <t xml:space="preserve">Trend: 27.2 (FY25) → 37.0 (Q1'26) → 43.8 (Q2'26). The June 2026 memo called crossing 40 'the single most important fundamental milestone for a re-rating' — it happened this quarter, and the stock re-rated +38%.</t>
  </si>
  <si>
    <t xml:space="preserve">PEER COMPARABLES (CDN / Edge / Security)</t>
  </si>
  <si>
    <t xml:space="preserve">Company</t>
  </si>
  <si>
    <t xml:space="preserve">Ticker</t>
  </si>
  <si>
    <t xml:space="preserve">Fwd Rev Growth</t>
  </si>
  <si>
    <t xml:space="preserve">FCF Margin (est.)</t>
  </si>
  <si>
    <t xml:space="preserve">Fwd EV/Sales</t>
  </si>
  <si>
    <t xml:space="preserve">Note</t>
  </si>
  <si>
    <t xml:space="preserve">Fastly</t>
  </si>
  <si>
    <t xml:space="preserve">FSLY</t>
  </si>
  <si>
    <t xml:space="preserve">Subject — Ro40 crossed on EBITDA basis; EV/S re-rated 4.4x→6.0x since June</t>
  </si>
  <si>
    <t xml:space="preserve">Cloudflare</t>
  </si>
  <si>
    <t xml:space="preserve">NET</t>
  </si>
  <si>
    <t xml:space="preserve">Premium multiple; ~30% growth</t>
  </si>
  <si>
    <t xml:space="preserve">Akamai</t>
  </si>
  <si>
    <t xml:space="preserve">AKAM</t>
  </si>
  <si>
    <t xml:space="preserve">Mature; security/compute pivot</t>
  </si>
  <si>
    <t xml:space="preserve">Datadog</t>
  </si>
  <si>
    <t xml:space="preserve">DDOG</t>
  </si>
  <si>
    <t xml:space="preserve">Observability; high R40</t>
  </si>
  <si>
    <t xml:space="preserve">Cloudflare-tier avg</t>
  </si>
  <si>
    <t xml:space="preserve">—</t>
  </si>
  <si>
    <t xml:space="preserve">Hypergrowth comp</t>
  </si>
  <si>
    <t xml:space="preserve">CDN/infra avg</t>
  </si>
  <si>
    <t xml:space="preserve">Mature infra comp</t>
  </si>
  <si>
    <t xml:space="preserve">Limelight/Edgio (defunct)</t>
  </si>
  <si>
    <t xml:space="preserve">n/a</t>
  </si>
  <si>
    <t xml:space="preserve">Cautionary CDN comp — went to zero</t>
  </si>
  <si>
    <t xml:space="preserve">Peer growth/FCF figures are approximate analyst estimates for context, not precise consensus.</t>
  </si>
  <si>
    <t xml:space="preserve">LEADERSHIP &amp; GOVERNANCE SCORECARD (0/5/10 per criterion, max 50)</t>
  </si>
  <si>
    <t xml:space="preserve">CEO: Kip Compton (hired; internal promotion from Chief Product Officer, June 2025; ex-Cisco SVP)</t>
  </si>
  <si>
    <t xml:space="preserve">CFO: Richard Wong (Aug 2025; first CFO at Benchling and Houzz; ex-VP Finance LinkedIn)   |   Insider ownership: 6.21%   |   Institutional: 86.45%</t>
  </si>
  <si>
    <t xml:space="preserve">Criterion</t>
  </si>
  <si>
    <t xml:space="preserve">Score</t>
  </si>
  <si>
    <t xml:space="preserve">Evidence</t>
  </si>
  <si>
    <t xml:space="preserve">Execution track record</t>
  </si>
  <si>
    <t xml:space="preserve">Two consecutive beat-and-raise quarters under new team; FY26 op income guide raised 46% ($63M→$92M mid) on Aug 5 2026</t>
  </si>
  <si>
    <t xml:space="preserve">Founder / tenure / skin in game</t>
  </si>
  <si>
    <t xml:space="preserve">Hired CEO, 14-month tenure; founder Bergman no longer in executive seat; insider ownership 6.21% (modest)</t>
  </si>
  <si>
    <t xml:space="preserve">Capital allocation</t>
  </si>
  <si>
    <t xml:space="preserve">Converts managed, no dilutive M&amp;A; but diluted count 176.5M→180.3M in 2 qtrs + new universal shelf filed Aug 2026 (dilution overhang)</t>
  </si>
  <si>
    <t xml:space="preserve">Insider activity (Form 4)</t>
  </si>
  <si>
    <t xml:space="preserve">Routine plan/tax sells only (CEO sold 14,868 sh Aug 2026; CTO tax sells; director 10b5-1); zero open-market buys in last 12 mo</t>
  </si>
  <si>
    <t xml:space="preserve">Governance &amp; alignment</t>
  </si>
  <si>
    <t xml:space="preserve">Orderly succession but heavy C-suite turnover (CEO, CFO, PAO changed within ~14 months); high board independence</t>
  </si>
  <si>
    <t xml:space="preserve">COMPOSITE (max 50)</t>
  </si>
  <si>
    <t xml:space="preserve">FSLY — OPTIONS OVERLAY (optional; existing long-share position)</t>
  </si>
  <si>
    <t xml:space="preserve">Vehicle this run: LONG EQUITY. Overlay is optional income/protection. Post-spike IV is elevated — favors SELLING premium, not buying. Yields PER CYCLE.</t>
  </si>
  <si>
    <t xml:space="preserve">MARKET REFERENCE</t>
  </si>
  <si>
    <t xml:space="preserve">52-Week High (resistance)</t>
  </si>
  <si>
    <t xml:space="preserve">50-Day SMA (support)</t>
  </si>
  <si>
    <t xml:space="preserve">200-Day SMA (support)</t>
  </si>
  <si>
    <t xml:space="preserve">DCF Bull Case</t>
  </si>
  <si>
    <t xml:space="preserve">DCF Base Case</t>
  </si>
  <si>
    <t xml:space="preserve">DCF Bear Case</t>
  </si>
  <si>
    <t xml:space="preserve">RECOMMENDED STRATEGIES (per 1 contract = 100 shares)</t>
  </si>
  <si>
    <t xml:space="preserve">Strategy</t>
  </si>
  <si>
    <t xml:space="preserve">Structure</t>
  </si>
  <si>
    <t xml:space="preserve">Net Premium / Cost</t>
  </si>
  <si>
    <t xml:space="preserve">Max Gain</t>
  </si>
  <si>
    <t xml:space="preserve">Max Loss / Risk</t>
  </si>
  <si>
    <t xml:space="preserve">Rationale</t>
  </si>
  <si>
    <t xml:space="preserve">Covered Call (primary)</t>
  </si>
  <si>
    <t xml:space="preserve">Sell ~$32 call, 45–60 DTE (Sep/Oct 2026)</t>
  </si>
  <si>
    <t xml:space="preserve">est. +$1.30–1.60 (~$130–160/contract)</t>
  </si>
  <si>
    <t xml:space="preserve">Premium + ~$4.25 appreciation to $32 ≈ $560–585/contract</t>
  </si>
  <si>
    <t xml:space="preserve">Caps upside above $32; keep shares unless called</t>
  </si>
  <si>
    <t xml:space="preserve">Price already exceeds bull DCF; $32 sits in the May-peak supply zone $32.36–34.82. Harvests post-spike IV. ~5% per-cycle yield.</t>
  </si>
  <si>
    <t xml:space="preserve">Collar (protective)</t>
  </si>
  <si>
    <t xml:space="preserve">Sell $32 call + buy $22 put, ~60 DTE</t>
  </si>
  <si>
    <t xml:space="preserve">≈ net-zero cost (est.)</t>
  </si>
  <si>
    <t xml:space="preserve">Premium + appreciation to $32</t>
  </si>
  <si>
    <t xml:space="preserve">Floored near $22 (gap-fill level / pre-earnings base)</t>
  </si>
  <si>
    <t xml:space="preserve">After a +21% single-day gap with RSI 70 and 18% short float, protecting the unrealized gain is cheap. Best structure if not trimming shares.</t>
  </si>
  <si>
    <t xml:space="preserve">Cash-Secured Put (re-entry)</t>
  </si>
  <si>
    <t xml:space="preserve">Sell ~$20 put, 45 DTE</t>
  </si>
  <si>
    <t xml:space="preserve">est. +$0.55–0.75 (~$55–75/contract)</t>
  </si>
  <si>
    <t xml:space="preserve">Premium kept if FSLY stays above $20</t>
  </si>
  <si>
    <t xml:space="preserve">Assigned at $20 (net ~$19.35) — $2,000 cash/contract</t>
  </si>
  <si>
    <t xml:space="preserve">Re-accumulates near 50-day SMA ($19.83) if the gap fully fades. Note: still above base DCF ($12.87) — size modestly.</t>
  </si>
  <si>
    <t xml:space="preserve">Primary action this quarter is on the SHARES (hold core / trim into strength above bull DCF) — see memo Verdict. Overlay is optional.</t>
  </si>
  <si>
    <t xml:space="preserve">Premiums are estimates pending live IV; verify on the chain. Yields are PER CYCLE, not annualized. Not investment advice.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</si>
</sst>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.0;\(#,##0.0\);\-"/>
    <numFmt numFmtId="167" formatCode="\$#,##0.0;&quot;($&quot;#,##0.0\);\-"/>
    <numFmt numFmtId="168" formatCode="0.0%;\(0.0%\);\-"/>
    <numFmt numFmtId="169" formatCode="0.0\x"/>
    <numFmt numFmtId="170" formatCode="0.0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E5" s="3" t="s">
        <v>3</v>
      </c>
      <c r="F5" s="4"/>
    </row>
    <row r="6" customFormat="false" ht="15" hidden="false" customHeight="false" outlineLevel="0" collapsed="false">
      <c r="B6" s="5" t="s">
        <v>4</v>
      </c>
      <c r="C6" s="6" t="n">
        <v>27.75</v>
      </c>
      <c r="E6" s="5" t="s">
        <v>5</v>
      </c>
      <c r="F6" s="7" t="n">
        <f aca="false">Model!B52</f>
        <v>23.5872211904435</v>
      </c>
    </row>
    <row r="7" customFormat="false" ht="15" hidden="false" customHeight="false" outlineLevel="0" collapsed="false">
      <c r="B7" s="5" t="s">
        <v>6</v>
      </c>
      <c r="C7" s="8" t="s">
        <v>7</v>
      </c>
      <c r="E7" s="5" t="s">
        <v>8</v>
      </c>
      <c r="F7" s="7" t="n">
        <f aca="false">Model!C52</f>
        <v>13.3685144418939</v>
      </c>
    </row>
    <row r="8" customFormat="false" ht="15" hidden="false" customHeight="false" outlineLevel="0" collapsed="false">
      <c r="B8" s="5" t="s">
        <v>9</v>
      </c>
      <c r="C8" s="9" t="n">
        <v>159.3</v>
      </c>
      <c r="E8" s="5" t="s">
        <v>10</v>
      </c>
      <c r="F8" s="7" t="n">
        <f aca="false">Model!D52</f>
        <v>6.92750714171357</v>
      </c>
    </row>
    <row r="9" customFormat="false" ht="15" hidden="false" customHeight="false" outlineLevel="0" collapsed="false">
      <c r="B9" s="5" t="s">
        <v>11</v>
      </c>
      <c r="C9" s="9" t="n">
        <v>180.3</v>
      </c>
      <c r="E9" s="5" t="s">
        <v>4</v>
      </c>
      <c r="F9" s="10" t="n">
        <f aca="false">C6</f>
        <v>27.75</v>
      </c>
    </row>
    <row r="10" customFormat="false" ht="15" hidden="false" customHeight="false" outlineLevel="0" collapsed="false">
      <c r="B10" s="5" t="s">
        <v>12</v>
      </c>
      <c r="C10" s="11" t="n">
        <f aca="false">C6*C8</f>
        <v>4420.575</v>
      </c>
      <c r="E10" s="5" t="s">
        <v>13</v>
      </c>
      <c r="F10" s="12" t="n">
        <f aca="false">F9/F6-1</f>
        <v>0.176484494546695</v>
      </c>
    </row>
    <row r="11" customFormat="false" ht="15" hidden="false" customHeight="false" outlineLevel="0" collapsed="false">
      <c r="B11" s="5" t="s">
        <v>14</v>
      </c>
      <c r="C11" s="13" t="n">
        <v>337.5</v>
      </c>
      <c r="E11" s="5" t="s">
        <v>15</v>
      </c>
      <c r="F11" s="12" t="n">
        <f aca="false">F7/F9-1</f>
        <v>-0.518251731823642</v>
      </c>
    </row>
    <row r="12" customFormat="false" ht="15" hidden="false" customHeight="false" outlineLevel="0" collapsed="false">
      <c r="B12" s="5" t="s">
        <v>16</v>
      </c>
      <c r="C12" s="13" t="n">
        <v>323.96</v>
      </c>
      <c r="E12" s="5" t="s">
        <v>17</v>
      </c>
      <c r="F12" s="13" t="n">
        <v>739</v>
      </c>
    </row>
    <row r="13" customFormat="false" ht="15" hidden="false" customHeight="false" outlineLevel="0" collapsed="false">
      <c r="B13" s="5" t="s">
        <v>18</v>
      </c>
      <c r="C13" s="11" t="n">
        <f aca="false">C11-C12</f>
        <v>13.54</v>
      </c>
      <c r="E13" s="5" t="s">
        <v>19</v>
      </c>
      <c r="F13" s="12" t="n">
        <f aca="false">F12/Model!B6-1</f>
        <v>0.184260710428225</v>
      </c>
    </row>
    <row r="14" customFormat="false" ht="15" hidden="false" customHeight="false" outlineLevel="0" collapsed="false">
      <c r="B14" s="5" t="s">
        <v>20</v>
      </c>
      <c r="C14" s="11" t="n">
        <f aca="false">C10-C13</f>
        <v>4407.035</v>
      </c>
      <c r="E14" s="5" t="s">
        <v>21</v>
      </c>
      <c r="F14" s="13" t="n">
        <v>92</v>
      </c>
    </row>
    <row r="15" customFormat="false" ht="15" hidden="false" customHeight="false" outlineLevel="0" collapsed="false">
      <c r="E15" s="5" t="s">
        <v>22</v>
      </c>
      <c r="F15" s="14" t="n">
        <f aca="false">C14/F12</f>
        <v>5.96351150202977</v>
      </c>
    </row>
    <row r="16" customFormat="false" ht="15" hidden="false" customHeight="false" outlineLevel="0" collapsed="false">
      <c r="B16" s="3" t="s">
        <v>23</v>
      </c>
      <c r="C16" s="4"/>
      <c r="E16" s="5" t="s">
        <v>24</v>
      </c>
      <c r="F16" s="15" t="n">
        <f aca="false">Rule_of_40!D15</f>
        <v>43.8</v>
      </c>
    </row>
    <row r="17" customFormat="false" ht="15" hidden="false" customHeight="false" outlineLevel="0" collapsed="false">
      <c r="B17" s="5" t="s">
        <v>25</v>
      </c>
      <c r="C17" s="13" t="n">
        <v>183.3</v>
      </c>
      <c r="E17" s="5" t="s">
        <v>26</v>
      </c>
      <c r="F17" s="15" t="n">
        <f aca="false">Rule_of_40!D7</f>
        <v>27.2</v>
      </c>
    </row>
    <row r="18" customFormat="false" ht="15" hidden="false" customHeight="false" outlineLevel="0" collapsed="false">
      <c r="B18" s="5" t="s">
        <v>27</v>
      </c>
      <c r="C18" s="16" t="n">
        <v>0.23</v>
      </c>
    </row>
    <row r="19" customFormat="false" ht="15" hidden="false" customHeight="false" outlineLevel="0" collapsed="false">
      <c r="B19" s="5" t="s">
        <v>28</v>
      </c>
      <c r="C19" s="8" t="s">
        <v>29</v>
      </c>
      <c r="E19" s="3" t="s">
        <v>30</v>
      </c>
      <c r="F19" s="4"/>
    </row>
    <row r="20" customFormat="false" ht="15" hidden="false" customHeight="false" outlineLevel="0" collapsed="false">
      <c r="B20" s="5" t="s">
        <v>31</v>
      </c>
      <c r="C20" s="8" t="s">
        <v>32</v>
      </c>
      <c r="E20" s="5" t="s">
        <v>33</v>
      </c>
      <c r="F20" s="6" t="n">
        <v>21.5</v>
      </c>
    </row>
    <row r="21" customFormat="false" ht="15" hidden="false" customHeight="false" outlineLevel="0" collapsed="false">
      <c r="B21" s="5" t="s">
        <v>34</v>
      </c>
      <c r="C21" s="8" t="s">
        <v>35</v>
      </c>
      <c r="E21" s="5" t="s">
        <v>36</v>
      </c>
      <c r="F21" s="6" t="n">
        <v>19.83</v>
      </c>
    </row>
    <row r="22" customFormat="false" ht="15" hidden="false" customHeight="false" outlineLevel="0" collapsed="false">
      <c r="B22" s="5" t="s">
        <v>37</v>
      </c>
      <c r="C22" s="16" t="n">
        <v>0.633</v>
      </c>
      <c r="E22" s="5" t="s">
        <v>38</v>
      </c>
      <c r="F22" s="6" t="n">
        <v>17.22</v>
      </c>
    </row>
    <row r="23" customFormat="false" ht="15" hidden="false" customHeight="false" outlineLevel="0" collapsed="false">
      <c r="B23" s="5" t="s">
        <v>39</v>
      </c>
      <c r="C23" s="16" t="n">
        <v>0.658</v>
      </c>
      <c r="E23" s="5" t="s">
        <v>40</v>
      </c>
      <c r="F23" s="17" t="n">
        <v>70.3</v>
      </c>
    </row>
    <row r="24" customFormat="false" ht="15" hidden="false" customHeight="false" outlineLevel="0" collapsed="false">
      <c r="B24" s="5" t="s">
        <v>41</v>
      </c>
      <c r="C24" s="16" t="n">
        <v>0.147</v>
      </c>
      <c r="E24" s="5" t="s">
        <v>42</v>
      </c>
      <c r="F24" s="16" t="n">
        <v>0.181</v>
      </c>
    </row>
    <row r="25" customFormat="false" ht="15" hidden="false" customHeight="false" outlineLevel="0" collapsed="false">
      <c r="B25" s="5" t="s">
        <v>43</v>
      </c>
      <c r="C25" s="16" t="n">
        <v>0.208</v>
      </c>
      <c r="E25" s="5" t="s">
        <v>44</v>
      </c>
      <c r="F25" s="8" t="s">
        <v>45</v>
      </c>
    </row>
    <row r="26" customFormat="false" ht="15" hidden="false" customHeight="false" outlineLevel="0" collapsed="false">
      <c r="B26" s="5" t="s">
        <v>46</v>
      </c>
      <c r="C26" s="16" t="n">
        <v>0.02</v>
      </c>
    </row>
    <row r="27" customFormat="false" ht="15" hidden="false" customHeight="false" outlineLevel="0" collapsed="false">
      <c r="B27" s="5" t="s">
        <v>47</v>
      </c>
      <c r="C27" s="16" t="n">
        <v>1.17</v>
      </c>
    </row>
    <row r="28" customFormat="false" ht="15" hidden="false" customHeight="false" outlineLevel="0" collapsed="false">
      <c r="B28" s="5" t="s">
        <v>48</v>
      </c>
      <c r="C28" s="13" t="n">
        <v>341</v>
      </c>
    </row>
    <row r="29" customFormat="false" ht="15" hidden="false" customHeight="false" outlineLevel="0" collapsed="false">
      <c r="B29" s="5" t="s">
        <v>49</v>
      </c>
      <c r="C29" s="16" t="n">
        <v>0.37</v>
      </c>
    </row>
    <row r="31" customFormat="false" ht="15" hidden="false" customHeight="false" outlineLevel="0" collapsed="false">
      <c r="B31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4"/>
    </row>
    <row r="5" customFormat="false" ht="15" hidden="false" customHeight="false" outlineLevel="0" collapsed="false">
      <c r="A5" s="5" t="s">
        <v>54</v>
      </c>
      <c r="B5" s="13" t="n">
        <v>543.676</v>
      </c>
    </row>
    <row r="6" customFormat="false" ht="15" hidden="false" customHeight="false" outlineLevel="0" collapsed="false">
      <c r="A6" s="5" t="s">
        <v>55</v>
      </c>
      <c r="B6" s="13" t="n">
        <v>624.018</v>
      </c>
    </row>
    <row r="7" customFormat="false" ht="15" hidden="false" customHeight="false" outlineLevel="0" collapsed="false">
      <c r="A7" s="5" t="s">
        <v>56</v>
      </c>
      <c r="B7" s="13" t="n">
        <v>45.809</v>
      </c>
    </row>
    <row r="8" customFormat="false" ht="15" hidden="false" customHeight="false" outlineLevel="0" collapsed="false">
      <c r="A8" s="5" t="s">
        <v>57</v>
      </c>
      <c r="B8" s="13" t="n">
        <v>356.3</v>
      </c>
    </row>
    <row r="9" customFormat="false" ht="15" hidden="false" customHeight="false" outlineLevel="0" collapsed="false">
      <c r="A9" s="5" t="s">
        <v>58</v>
      </c>
      <c r="B9" s="13" t="n">
        <v>7.8</v>
      </c>
    </row>
    <row r="10" customFormat="false" ht="15" hidden="false" customHeight="false" outlineLevel="0" collapsed="false">
      <c r="A10" s="5" t="s">
        <v>59</v>
      </c>
      <c r="B10" s="13" t="n">
        <v>739</v>
      </c>
    </row>
    <row r="13" customFormat="false" ht="15" hidden="false" customHeight="false" outlineLevel="0" collapsed="false">
      <c r="A13" s="3" t="s">
        <v>60</v>
      </c>
      <c r="B13" s="4"/>
      <c r="C13" s="4"/>
      <c r="D13" s="4"/>
    </row>
    <row r="14" customFormat="false" ht="15" hidden="false" customHeight="false" outlineLevel="0" collapsed="false">
      <c r="A14" s="18" t="s">
        <v>61</v>
      </c>
      <c r="B14" s="18" t="s">
        <v>62</v>
      </c>
      <c r="C14" s="18" t="s">
        <v>63</v>
      </c>
      <c r="D14" s="18" t="s">
        <v>64</v>
      </c>
    </row>
    <row r="15" customFormat="false" ht="15" hidden="false" customHeight="false" outlineLevel="0" collapsed="false">
      <c r="A15" s="5" t="s">
        <v>65</v>
      </c>
      <c r="B15" s="16" t="n">
        <v>0.11</v>
      </c>
      <c r="C15" s="16" t="n">
        <v>0.11</v>
      </c>
      <c r="D15" s="16" t="n">
        <v>0.11</v>
      </c>
    </row>
    <row r="16" customFormat="false" ht="15" hidden="false" customHeight="false" outlineLevel="0" collapsed="false">
      <c r="A16" s="5" t="s">
        <v>66</v>
      </c>
      <c r="B16" s="16" t="n">
        <v>0.2</v>
      </c>
      <c r="C16" s="16" t="n">
        <v>0.14</v>
      </c>
      <c r="D16" s="16" t="n">
        <v>0.09</v>
      </c>
    </row>
    <row r="17" customFormat="false" ht="15" hidden="false" customHeight="false" outlineLevel="0" collapsed="false">
      <c r="A17" s="5" t="s">
        <v>67</v>
      </c>
      <c r="B17" s="16" t="n">
        <v>0.18</v>
      </c>
      <c r="C17" s="16" t="n">
        <v>0.13</v>
      </c>
      <c r="D17" s="16" t="n">
        <v>0.07</v>
      </c>
    </row>
    <row r="18" customFormat="false" ht="15" hidden="false" customHeight="false" outlineLevel="0" collapsed="false">
      <c r="A18" s="5" t="s">
        <v>68</v>
      </c>
      <c r="B18" s="16" t="n">
        <v>0.16</v>
      </c>
      <c r="C18" s="16" t="n">
        <v>0.12</v>
      </c>
      <c r="D18" s="16" t="n">
        <v>0.06</v>
      </c>
    </row>
    <row r="19" customFormat="false" ht="15" hidden="false" customHeight="false" outlineLevel="0" collapsed="false">
      <c r="A19" s="5" t="s">
        <v>69</v>
      </c>
      <c r="B19" s="16" t="n">
        <v>0.14</v>
      </c>
      <c r="C19" s="16" t="n">
        <v>0.11</v>
      </c>
      <c r="D19" s="16" t="n">
        <v>0.05</v>
      </c>
    </row>
    <row r="20" customFormat="false" ht="15" hidden="false" customHeight="false" outlineLevel="0" collapsed="false">
      <c r="A20" s="5" t="s">
        <v>70</v>
      </c>
      <c r="B20" s="16" t="n">
        <v>0.08</v>
      </c>
      <c r="C20" s="16" t="n">
        <v>0.07</v>
      </c>
      <c r="D20" s="16" t="n">
        <v>0.06</v>
      </c>
    </row>
    <row r="21" customFormat="false" ht="15" hidden="false" customHeight="false" outlineLevel="0" collapsed="false">
      <c r="A21" s="5" t="s">
        <v>71</v>
      </c>
      <c r="B21" s="16" t="n">
        <v>0.13</v>
      </c>
      <c r="C21" s="16" t="n">
        <v>0.1</v>
      </c>
      <c r="D21" s="16" t="n">
        <v>0.07</v>
      </c>
    </row>
    <row r="22" customFormat="false" ht="15" hidden="false" customHeight="false" outlineLevel="0" collapsed="false">
      <c r="A22" s="5" t="s">
        <v>72</v>
      </c>
      <c r="B22" s="16" t="n">
        <v>0.17</v>
      </c>
      <c r="C22" s="16" t="n">
        <v>0.13</v>
      </c>
      <c r="D22" s="16" t="n">
        <v>0.09</v>
      </c>
    </row>
    <row r="23" customFormat="false" ht="15" hidden="false" customHeight="false" outlineLevel="0" collapsed="false">
      <c r="A23" s="5" t="s">
        <v>73</v>
      </c>
      <c r="B23" s="16" t="n">
        <v>0.22</v>
      </c>
      <c r="C23" s="16" t="n">
        <v>0.16</v>
      </c>
      <c r="D23" s="16" t="n">
        <v>0.11</v>
      </c>
    </row>
    <row r="24" customFormat="false" ht="15" hidden="false" customHeight="false" outlineLevel="0" collapsed="false">
      <c r="A24" s="5" t="s">
        <v>74</v>
      </c>
      <c r="B24" s="16" t="n">
        <v>0.27</v>
      </c>
      <c r="C24" s="16" t="n">
        <v>0.2</v>
      </c>
      <c r="D24" s="16" t="n">
        <v>0.13</v>
      </c>
    </row>
    <row r="25" customFormat="false" ht="15" hidden="false" customHeight="false" outlineLevel="0" collapsed="false">
      <c r="A25" s="5" t="s">
        <v>75</v>
      </c>
      <c r="B25" s="16" t="n">
        <v>0.045</v>
      </c>
      <c r="C25" s="16" t="n">
        <v>0.035</v>
      </c>
      <c r="D25" s="16" t="n">
        <v>0.03</v>
      </c>
    </row>
    <row r="27" customFormat="false" ht="15" hidden="false" customHeight="false" outlineLevel="0" collapsed="false">
      <c r="A27" s="3" t="s">
        <v>76</v>
      </c>
      <c r="B27" s="4"/>
      <c r="C27" s="4"/>
      <c r="D27" s="4"/>
    </row>
    <row r="28" customFormat="false" ht="15" hidden="false" customHeight="false" outlineLevel="0" collapsed="false">
      <c r="A28" s="18" t="s">
        <v>77</v>
      </c>
      <c r="B28" s="18" t="s">
        <v>62</v>
      </c>
      <c r="C28" s="18" t="s">
        <v>63</v>
      </c>
      <c r="D28" s="18" t="s">
        <v>64</v>
      </c>
    </row>
    <row r="29" customFormat="false" ht="15" hidden="false" customHeight="false" outlineLevel="0" collapsed="false">
      <c r="A29" s="5" t="s">
        <v>78</v>
      </c>
      <c r="B29" s="11" t="n">
        <f aca="false">$B$10</f>
        <v>739</v>
      </c>
      <c r="C29" s="11" t="n">
        <f aca="false">$B$10</f>
        <v>739</v>
      </c>
      <c r="D29" s="11" t="n">
        <f aca="false">$B$10</f>
        <v>739</v>
      </c>
    </row>
    <row r="30" customFormat="false" ht="15" hidden="false" customHeight="false" outlineLevel="0" collapsed="false">
      <c r="A30" s="5" t="s">
        <v>79</v>
      </c>
      <c r="B30" s="11" t="n">
        <f aca="false">B29*(1+$B$16)</f>
        <v>886.8</v>
      </c>
      <c r="C30" s="11" t="n">
        <f aca="false">C29*(1+$C$16)</f>
        <v>842.46</v>
      </c>
      <c r="D30" s="11" t="n">
        <f aca="false">D29*(1+$D$16)</f>
        <v>805.51</v>
      </c>
    </row>
    <row r="31" customFormat="false" ht="15" hidden="false" customHeight="false" outlineLevel="0" collapsed="false">
      <c r="A31" s="5" t="s">
        <v>80</v>
      </c>
      <c r="B31" s="11" t="n">
        <f aca="false">B30*(1+$B$17)</f>
        <v>1046.424</v>
      </c>
      <c r="C31" s="11" t="n">
        <f aca="false">C30*(1+$C$17)</f>
        <v>951.9798</v>
      </c>
      <c r="D31" s="11" t="n">
        <f aca="false">D30*(1+$D$17)</f>
        <v>861.8957</v>
      </c>
    </row>
    <row r="32" customFormat="false" ht="15" hidden="false" customHeight="false" outlineLevel="0" collapsed="false">
      <c r="A32" s="5" t="s">
        <v>81</v>
      </c>
      <c r="B32" s="11" t="n">
        <f aca="false">B31*(1+$B$18)</f>
        <v>1213.85184</v>
      </c>
      <c r="C32" s="11" t="n">
        <f aca="false">C31*(1+$C$18)</f>
        <v>1066.217376</v>
      </c>
      <c r="D32" s="11" t="n">
        <f aca="false">D31*(1+$D$18)</f>
        <v>913.609442</v>
      </c>
    </row>
    <row r="33" customFormat="false" ht="15" hidden="false" customHeight="false" outlineLevel="0" collapsed="false">
      <c r="A33" s="5" t="s">
        <v>82</v>
      </c>
      <c r="B33" s="11" t="n">
        <f aca="false">B32*(1+$B$19)</f>
        <v>1383.7910976</v>
      </c>
      <c r="C33" s="11" t="n">
        <f aca="false">C32*(1+$C$19)</f>
        <v>1183.50128736</v>
      </c>
      <c r="D33" s="11" t="n">
        <f aca="false">D32*(1+$D$19)</f>
        <v>959.2899141</v>
      </c>
    </row>
    <row r="35" customFormat="false" ht="15" hidden="false" customHeight="false" outlineLevel="0" collapsed="false">
      <c r="A35" s="3" t="s">
        <v>83</v>
      </c>
      <c r="B35" s="4"/>
      <c r="C35" s="4"/>
      <c r="D35" s="4"/>
    </row>
    <row r="36" customFormat="false" ht="15" hidden="false" customHeight="false" outlineLevel="0" collapsed="false">
      <c r="A36" s="18" t="s">
        <v>77</v>
      </c>
      <c r="B36" s="18" t="s">
        <v>62</v>
      </c>
      <c r="C36" s="18" t="s">
        <v>63</v>
      </c>
      <c r="D36" s="18" t="s">
        <v>64</v>
      </c>
    </row>
    <row r="37" customFormat="false" ht="15" hidden="false" customHeight="false" outlineLevel="0" collapsed="false">
      <c r="A37" s="5" t="s">
        <v>84</v>
      </c>
      <c r="B37" s="11" t="n">
        <f aca="false">B29*$B$20</f>
        <v>59.12</v>
      </c>
      <c r="C37" s="11" t="n">
        <f aca="false">C29*$C$20</f>
        <v>51.73</v>
      </c>
      <c r="D37" s="11" t="n">
        <f aca="false">D29*$D$20</f>
        <v>44.34</v>
      </c>
    </row>
    <row r="38" customFormat="false" ht="15" hidden="false" customHeight="false" outlineLevel="0" collapsed="false">
      <c r="A38" s="5" t="s">
        <v>85</v>
      </c>
      <c r="B38" s="11" t="n">
        <f aca="false">B30*$B$21</f>
        <v>115.284</v>
      </c>
      <c r="C38" s="11" t="n">
        <f aca="false">C30*$C$21</f>
        <v>84.246</v>
      </c>
      <c r="D38" s="11" t="n">
        <f aca="false">D30*$D$21</f>
        <v>56.3857</v>
      </c>
    </row>
    <row r="39" customFormat="false" ht="15" hidden="false" customHeight="false" outlineLevel="0" collapsed="false">
      <c r="A39" s="5" t="s">
        <v>86</v>
      </c>
      <c r="B39" s="11" t="n">
        <f aca="false">B31*$B$22</f>
        <v>177.89208</v>
      </c>
      <c r="C39" s="11" t="n">
        <f aca="false">C31*$C$22</f>
        <v>123.757374</v>
      </c>
      <c r="D39" s="11" t="n">
        <f aca="false">D31*$D$22</f>
        <v>77.570613</v>
      </c>
    </row>
    <row r="40" customFormat="false" ht="15" hidden="false" customHeight="false" outlineLevel="0" collapsed="false">
      <c r="A40" s="5" t="s">
        <v>87</v>
      </c>
      <c r="B40" s="11" t="n">
        <f aca="false">B32*$B$23</f>
        <v>267.0474048</v>
      </c>
      <c r="C40" s="11" t="n">
        <f aca="false">C32*$C$23</f>
        <v>170.59478016</v>
      </c>
      <c r="D40" s="11" t="n">
        <f aca="false">D32*$D$23</f>
        <v>100.49703862</v>
      </c>
    </row>
    <row r="41" customFormat="false" ht="15" hidden="false" customHeight="false" outlineLevel="0" collapsed="false">
      <c r="A41" s="5" t="s">
        <v>88</v>
      </c>
      <c r="B41" s="11" t="n">
        <f aca="false">B33*$B$24</f>
        <v>373.623596352</v>
      </c>
      <c r="C41" s="11" t="n">
        <f aca="false">C33*$C$24</f>
        <v>236.700257472</v>
      </c>
      <c r="D41" s="11" t="n">
        <f aca="false">D33*$D$24</f>
        <v>124.707688833</v>
      </c>
    </row>
    <row r="43" customFormat="false" ht="15" hidden="false" customHeight="false" outlineLevel="0" collapsed="false">
      <c r="A43" s="3" t="s">
        <v>89</v>
      </c>
      <c r="B43" s="4"/>
      <c r="C43" s="4"/>
      <c r="D43" s="4"/>
    </row>
    <row r="44" customFormat="false" ht="15" hidden="false" customHeight="false" outlineLevel="0" collapsed="false">
      <c r="A44" s="18" t="s">
        <v>90</v>
      </c>
      <c r="B44" s="18" t="s">
        <v>62</v>
      </c>
      <c r="C44" s="18" t="s">
        <v>63</v>
      </c>
      <c r="D44" s="18" t="s">
        <v>64</v>
      </c>
    </row>
    <row r="45" customFormat="false" ht="15" hidden="false" customHeight="false" outlineLevel="0" collapsed="false">
      <c r="A45" s="5" t="s">
        <v>91</v>
      </c>
      <c r="B45" s="11" t="n">
        <f aca="false">B37/(1+$B$15)^1+B38/(1+$B$15)^2+B39/(1+$B$15)^3+B40/(1+$B$15)^4+B41/(1+$B$15)^5</f>
        <v>674.541314108975</v>
      </c>
      <c r="C45" s="11" t="n">
        <f aca="false">C37/(1+$C$15)^1+C38/(1+$C$15)^2+C39/(1+$C$15)^3+C40/(1+$C$15)^4+C41/(1+$C$15)^5</f>
        <v>458.316020223331</v>
      </c>
      <c r="D45" s="11" t="n">
        <f aca="false">D37/(1+$D$15)^1+D38/(1+$D$15)^2+D39/(1+$D$15)^3+D40/(1+$D$15)^4+D41/(1+$D$15)^5</f>
        <v>282.637264353844</v>
      </c>
    </row>
    <row r="46" customFormat="false" ht="15" hidden="false" customHeight="false" outlineLevel="0" collapsed="false">
      <c r="A46" s="5" t="s">
        <v>92</v>
      </c>
      <c r="B46" s="11" t="n">
        <f aca="false">B41*(1+$B$25)/($B$15-$B$25)</f>
        <v>6006.71781827446</v>
      </c>
      <c r="C46" s="11" t="n">
        <f aca="false">C41*(1+$C$25)/($C$15-$C$25)</f>
        <v>3266.4635531136</v>
      </c>
      <c r="D46" s="11" t="n">
        <f aca="false">D41*(1+$D$25)/($D$15-$D$25)</f>
        <v>1605.61149372488</v>
      </c>
    </row>
    <row r="47" customFormat="false" ht="15" hidden="false" customHeight="false" outlineLevel="0" collapsed="false">
      <c r="A47" s="5" t="s">
        <v>93</v>
      </c>
      <c r="B47" s="11" t="n">
        <f aca="false">B46/(1+$B$15)^5</f>
        <v>3564.69466652799</v>
      </c>
      <c r="C47" s="11" t="n">
        <f aca="false">C46/(1+$C$15)^5</f>
        <v>1938.48713365014</v>
      </c>
      <c r="D47" s="11" t="n">
        <f aca="false">D46/(1+$D$15)^5</f>
        <v>952.852273297113</v>
      </c>
    </row>
    <row r="48" customFormat="false" ht="15" hidden="false" customHeight="false" outlineLevel="0" collapsed="false">
      <c r="A48" s="5" t="s">
        <v>94</v>
      </c>
      <c r="B48" s="11" t="n">
        <f aca="false">B45+B47</f>
        <v>4239.23598063696</v>
      </c>
      <c r="C48" s="11" t="n">
        <f aca="false">C45+C47</f>
        <v>2396.80315387348</v>
      </c>
      <c r="D48" s="11" t="n">
        <f aca="false">D45+D47</f>
        <v>1235.48953765096</v>
      </c>
    </row>
    <row r="49" customFormat="false" ht="15" hidden="false" customHeight="false" outlineLevel="0" collapsed="false">
      <c r="A49" s="5" t="s">
        <v>95</v>
      </c>
      <c r="B49" s="19" t="n">
        <f aca="false">Dashboard!$C$13</f>
        <v>13.54</v>
      </c>
      <c r="C49" s="19" t="n">
        <f aca="false">Dashboard!$C$13</f>
        <v>13.54</v>
      </c>
      <c r="D49" s="19" t="n">
        <f aca="false">Dashboard!$C$13</f>
        <v>13.54</v>
      </c>
    </row>
    <row r="50" customFormat="false" ht="15" hidden="false" customHeight="false" outlineLevel="0" collapsed="false">
      <c r="A50" s="5" t="s">
        <v>96</v>
      </c>
      <c r="B50" s="11" t="n">
        <f aca="false">B48+B49</f>
        <v>4252.77598063696</v>
      </c>
      <c r="C50" s="11" t="n">
        <f aca="false">C48+C49</f>
        <v>2410.34315387348</v>
      </c>
      <c r="D50" s="11" t="n">
        <f aca="false">D48+D49</f>
        <v>1249.02953765096</v>
      </c>
    </row>
    <row r="51" customFormat="false" ht="15" hidden="false" customHeight="false" outlineLevel="0" collapsed="false">
      <c r="A51" s="5" t="s">
        <v>97</v>
      </c>
      <c r="B51" s="20" t="n">
        <f aca="false">Dashboard!$C$9</f>
        <v>180.3</v>
      </c>
      <c r="C51" s="20" t="n">
        <f aca="false">Dashboard!$C$9</f>
        <v>180.3</v>
      </c>
      <c r="D51" s="20" t="n">
        <f aca="false">Dashboard!$C$9</f>
        <v>180.3</v>
      </c>
    </row>
    <row r="52" customFormat="false" ht="15" hidden="false" customHeight="false" outlineLevel="0" collapsed="false">
      <c r="A52" s="18" t="s">
        <v>98</v>
      </c>
      <c r="B52" s="21" t="n">
        <f aca="false">B50/B51</f>
        <v>23.5872211904435</v>
      </c>
      <c r="C52" s="21" t="n">
        <f aca="false">C50/C51</f>
        <v>13.3685144418939</v>
      </c>
      <c r="D52" s="21" t="n">
        <f aca="false">D50/D51</f>
        <v>6.92750714171357</v>
      </c>
    </row>
    <row r="53" customFormat="false" ht="15" hidden="false" customHeight="false" outlineLevel="0" collapsed="false">
      <c r="A53" s="5" t="s">
        <v>99</v>
      </c>
      <c r="B53" s="12" t="n">
        <f aca="false">B52/Dashboard!$C$6-1</f>
        <v>-0.150010047191226</v>
      </c>
      <c r="C53" s="12" t="n">
        <f aca="false">C52/Dashboard!$C$6-1</f>
        <v>-0.518251731823642</v>
      </c>
      <c r="D53" s="12" t="n">
        <f aca="false">D52/Dashboard!$C$6-1</f>
        <v>-0.750360103001313</v>
      </c>
    </row>
    <row r="55" customFormat="false" ht="15" hidden="false" customHeight="false" outlineLevel="0" collapsed="false">
      <c r="A55" s="2" t="s">
        <v>100</v>
      </c>
    </row>
    <row r="56" customFormat="false" ht="15" hidden="false" customHeight="false" outlineLevel="0" collapsed="false">
      <c r="A56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15" hidden="false" customHeight="false" outlineLevel="0" collapsed="false">
      <c r="A4" s="3" t="s">
        <v>104</v>
      </c>
      <c r="B4" s="4"/>
      <c r="C4" s="4"/>
      <c r="D4" s="4"/>
    </row>
    <row r="5" customFormat="false" ht="15" hidden="false" customHeight="false" outlineLevel="0" collapsed="false">
      <c r="A5" s="18" t="s">
        <v>105</v>
      </c>
      <c r="B5" s="18" t="s">
        <v>106</v>
      </c>
      <c r="C5" s="18" t="s">
        <v>107</v>
      </c>
      <c r="D5" s="18" t="s">
        <v>108</v>
      </c>
    </row>
    <row r="6" customFormat="false" ht="15" hidden="false" customHeight="false" outlineLevel="0" collapsed="false">
      <c r="A6" s="5" t="s">
        <v>109</v>
      </c>
      <c r="B6" s="16" t="n">
        <v>0.148</v>
      </c>
      <c r="C6" s="16" t="n">
        <v>0.073</v>
      </c>
      <c r="D6" s="22" t="n">
        <f aca="false">(B6+C6)*100</f>
        <v>22.1</v>
      </c>
    </row>
    <row r="7" customFormat="false" ht="15" hidden="false" customHeight="false" outlineLevel="0" collapsed="false">
      <c r="A7" s="5" t="s">
        <v>110</v>
      </c>
      <c r="B7" s="16" t="n">
        <v>0.148</v>
      </c>
      <c r="C7" s="16" t="n">
        <v>0.124</v>
      </c>
      <c r="D7" s="22" t="n">
        <f aca="false">(B7+C7)*100</f>
        <v>27.2</v>
      </c>
    </row>
    <row r="8" customFormat="false" ht="15" hidden="false" customHeight="false" outlineLevel="0" collapsed="false">
      <c r="A8" s="5" t="s">
        <v>111</v>
      </c>
      <c r="B8" s="16" t="n">
        <v>0.2</v>
      </c>
      <c r="C8" s="16" t="n">
        <v>0.17</v>
      </c>
      <c r="D8" s="22" t="n">
        <f aca="false">(B8+C8)*100</f>
        <v>37</v>
      </c>
    </row>
    <row r="9" customFormat="false" ht="15" hidden="false" customHeight="false" outlineLevel="0" collapsed="false">
      <c r="A9" s="5" t="s">
        <v>112</v>
      </c>
      <c r="B9" s="16" t="n">
        <v>0.23</v>
      </c>
      <c r="C9" s="16" t="n">
        <v>0.02</v>
      </c>
      <c r="D9" s="22" t="n">
        <f aca="false">(B9+C9)*100</f>
        <v>25</v>
      </c>
    </row>
    <row r="10" customFormat="false" ht="15" hidden="false" customHeight="false" outlineLevel="0" collapsed="false">
      <c r="A10" s="5" t="s">
        <v>113</v>
      </c>
      <c r="B10" s="16" t="n">
        <v>0.23</v>
      </c>
      <c r="C10" s="16" t="n">
        <v>0.147</v>
      </c>
      <c r="D10" s="22" t="n">
        <f aca="false">(B10+C10)*100</f>
        <v>37.7</v>
      </c>
    </row>
    <row r="11" customFormat="false" ht="15" hidden="false" customHeight="false" outlineLevel="0" collapsed="false">
      <c r="A11" s="5" t="s">
        <v>114</v>
      </c>
      <c r="B11" s="16" t="n">
        <v>0.23</v>
      </c>
      <c r="C11" s="16" t="n">
        <v>0.208</v>
      </c>
      <c r="D11" s="22" t="n">
        <f aca="false">(B11+C11)*100</f>
        <v>43.8</v>
      </c>
    </row>
    <row r="12" customFormat="false" ht="15" hidden="false" customHeight="false" outlineLevel="0" collapsed="false">
      <c r="A12" s="5" t="s">
        <v>115</v>
      </c>
      <c r="B12" s="16" t="n">
        <v>0.184</v>
      </c>
      <c r="C12" s="16" t="n">
        <v>0.124</v>
      </c>
      <c r="D12" s="22" t="n">
        <f aca="false">(B12+C12)*100</f>
        <v>30.8</v>
      </c>
    </row>
    <row r="14" customFormat="false" ht="15" hidden="false" customHeight="false" outlineLevel="0" collapsed="false">
      <c r="A14" s="3" t="s">
        <v>116</v>
      </c>
      <c r="B14" s="4"/>
      <c r="C14" s="4"/>
      <c r="D14" s="4"/>
    </row>
    <row r="15" customFormat="false" ht="15" hidden="false" customHeight="false" outlineLevel="0" collapsed="false">
      <c r="A15" s="18" t="s">
        <v>117</v>
      </c>
      <c r="D15" s="23" t="n">
        <f aca="false">D11</f>
        <v>43.8</v>
      </c>
    </row>
    <row r="16" customFormat="false" ht="15" hidden="false" customHeight="false" outlineLevel="0" collapsed="false">
      <c r="A16" s="5" t="s">
        <v>118</v>
      </c>
      <c r="D16" s="22" t="n">
        <f aca="false">D7</f>
        <v>27.2</v>
      </c>
    </row>
    <row r="17" customFormat="false" ht="15" hidden="false" customHeight="false" outlineLevel="0" collapsed="false">
      <c r="A17" s="2" t="s">
        <v>119</v>
      </c>
    </row>
    <row r="19" customFormat="false" ht="15" hidden="false" customHeight="false" outlineLevel="0" collapsed="false">
      <c r="A19" s="3" t="s">
        <v>120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18" t="s">
        <v>121</v>
      </c>
      <c r="B20" s="18" t="s">
        <v>122</v>
      </c>
      <c r="C20" s="18" t="s">
        <v>123</v>
      </c>
      <c r="D20" s="18" t="s">
        <v>124</v>
      </c>
      <c r="E20" s="18" t="s">
        <v>108</v>
      </c>
      <c r="F20" s="18" t="s">
        <v>125</v>
      </c>
      <c r="G20" s="18" t="s">
        <v>126</v>
      </c>
    </row>
    <row r="21" customFormat="false" ht="15" hidden="false" customHeight="false" outlineLevel="0" collapsed="false">
      <c r="A21" s="24" t="s">
        <v>127</v>
      </c>
      <c r="B21" s="5" t="s">
        <v>128</v>
      </c>
      <c r="C21" s="16" t="n">
        <v>0.18</v>
      </c>
      <c r="D21" s="16" t="n">
        <v>0.08</v>
      </c>
      <c r="E21" s="22" t="n">
        <f aca="false">(C21+D21)*100</f>
        <v>26</v>
      </c>
      <c r="F21" s="25" t="n">
        <v>6</v>
      </c>
      <c r="G21" s="2" t="s">
        <v>129</v>
      </c>
    </row>
    <row r="22" customFormat="false" ht="15" hidden="false" customHeight="false" outlineLevel="0" collapsed="false">
      <c r="A22" s="5" t="s">
        <v>130</v>
      </c>
      <c r="B22" s="5" t="s">
        <v>131</v>
      </c>
      <c r="C22" s="16" t="n">
        <v>0.29</v>
      </c>
      <c r="D22" s="16" t="n">
        <v>0.12</v>
      </c>
      <c r="E22" s="22" t="n">
        <f aca="false">(C22+D22)*100</f>
        <v>41</v>
      </c>
      <c r="F22" s="25" t="n">
        <v>26</v>
      </c>
      <c r="G22" s="2" t="s">
        <v>132</v>
      </c>
    </row>
    <row r="23" customFormat="false" ht="15" hidden="false" customHeight="false" outlineLevel="0" collapsed="false">
      <c r="A23" s="5" t="s">
        <v>133</v>
      </c>
      <c r="B23" s="5" t="s">
        <v>134</v>
      </c>
      <c r="C23" s="16" t="n">
        <v>0.06</v>
      </c>
      <c r="D23" s="16" t="n">
        <v>0.22</v>
      </c>
      <c r="E23" s="22" t="n">
        <f aca="false">(C23+D23)*100</f>
        <v>28</v>
      </c>
      <c r="F23" s="25" t="n">
        <v>4.3</v>
      </c>
      <c r="G23" s="2" t="s">
        <v>135</v>
      </c>
    </row>
    <row r="24" customFormat="false" ht="15" hidden="false" customHeight="false" outlineLevel="0" collapsed="false">
      <c r="A24" s="5" t="s">
        <v>136</v>
      </c>
      <c r="B24" s="5" t="s">
        <v>137</v>
      </c>
      <c r="C24" s="16" t="n">
        <v>0.23</v>
      </c>
      <c r="D24" s="16" t="n">
        <v>0.26</v>
      </c>
      <c r="E24" s="22" t="n">
        <f aca="false">(C24+D24)*100</f>
        <v>49</v>
      </c>
      <c r="F24" s="25" t="n">
        <v>13</v>
      </c>
      <c r="G24" s="2" t="s">
        <v>138</v>
      </c>
    </row>
    <row r="25" customFormat="false" ht="15" hidden="false" customHeight="false" outlineLevel="0" collapsed="false">
      <c r="A25" s="5" t="s">
        <v>139</v>
      </c>
      <c r="B25" s="5" t="s">
        <v>140</v>
      </c>
      <c r="C25" s="16" t="n">
        <v>0.29</v>
      </c>
      <c r="D25" s="16" t="n">
        <v>0.12</v>
      </c>
      <c r="E25" s="22" t="n">
        <f aca="false">(C25+D25)*100</f>
        <v>41</v>
      </c>
      <c r="F25" s="25" t="n">
        <v>26</v>
      </c>
      <c r="G25" s="2" t="s">
        <v>141</v>
      </c>
    </row>
    <row r="26" customFormat="false" ht="15" hidden="false" customHeight="false" outlineLevel="0" collapsed="false">
      <c r="A26" s="5" t="s">
        <v>142</v>
      </c>
      <c r="B26" s="5" t="s">
        <v>140</v>
      </c>
      <c r="C26" s="16" t="n">
        <v>0.1</v>
      </c>
      <c r="D26" s="16" t="n">
        <v>0.18</v>
      </c>
      <c r="E26" s="22" t="n">
        <f aca="false">(C26+D26)*100</f>
        <v>28</v>
      </c>
      <c r="F26" s="25" t="n">
        <v>4</v>
      </c>
      <c r="G26" s="2" t="s">
        <v>143</v>
      </c>
    </row>
    <row r="27" customFormat="false" ht="15" hidden="false" customHeight="false" outlineLevel="0" collapsed="false">
      <c r="A27" s="5" t="s">
        <v>144</v>
      </c>
      <c r="B27" s="5" t="s">
        <v>140</v>
      </c>
      <c r="C27" s="5" t="s">
        <v>145</v>
      </c>
      <c r="D27" s="5" t="s">
        <v>145</v>
      </c>
      <c r="E27" s="5" t="s">
        <v>145</v>
      </c>
      <c r="F27" s="5" t="s">
        <v>145</v>
      </c>
      <c r="G27" s="2" t="s">
        <v>146</v>
      </c>
    </row>
    <row r="29" customFormat="false" ht="15" hidden="false" customHeight="false" outlineLevel="0" collapsed="false">
      <c r="A29" s="2" t="s">
        <v>147</v>
      </c>
    </row>
    <row r="32" customFormat="false" ht="15" hidden="false" customHeight="false" outlineLevel="0" collapsed="false">
      <c r="A32" s="3" t="s">
        <v>148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2" t="s">
        <v>149</v>
      </c>
    </row>
    <row r="34" customFormat="false" ht="15" hidden="false" customHeight="false" outlineLevel="0" collapsed="false">
      <c r="A34" s="2" t="s">
        <v>150</v>
      </c>
    </row>
    <row r="36" customFormat="false" ht="15" hidden="false" customHeight="false" outlineLevel="0" collapsed="false">
      <c r="A36" s="18" t="s">
        <v>151</v>
      </c>
      <c r="B36" s="18" t="s">
        <v>152</v>
      </c>
      <c r="C36" s="26" t="s">
        <v>153</v>
      </c>
      <c r="D36" s="26"/>
      <c r="E36" s="26"/>
      <c r="F36" s="26"/>
      <c r="G36" s="26"/>
    </row>
    <row r="37" customFormat="false" ht="15" hidden="false" customHeight="false" outlineLevel="0" collapsed="false">
      <c r="A37" s="5" t="s">
        <v>154</v>
      </c>
      <c r="B37" s="27" t="n">
        <v>10</v>
      </c>
      <c r="C37" s="28" t="s">
        <v>155</v>
      </c>
      <c r="D37" s="28"/>
      <c r="E37" s="28"/>
      <c r="F37" s="28"/>
      <c r="G37" s="28"/>
    </row>
    <row r="38" customFormat="false" ht="15" hidden="false" customHeight="false" outlineLevel="0" collapsed="false">
      <c r="A38" s="5" t="s">
        <v>156</v>
      </c>
      <c r="B38" s="27" t="n">
        <v>5</v>
      </c>
      <c r="C38" s="28" t="s">
        <v>157</v>
      </c>
      <c r="D38" s="28"/>
      <c r="E38" s="28"/>
      <c r="F38" s="28"/>
      <c r="G38" s="28"/>
    </row>
    <row r="39" customFormat="false" ht="15" hidden="false" customHeight="false" outlineLevel="0" collapsed="false">
      <c r="A39" s="5" t="s">
        <v>158</v>
      </c>
      <c r="B39" s="27" t="n">
        <v>5</v>
      </c>
      <c r="C39" s="28" t="s">
        <v>159</v>
      </c>
      <c r="D39" s="28"/>
      <c r="E39" s="28"/>
      <c r="F39" s="28"/>
      <c r="G39" s="28"/>
    </row>
    <row r="40" customFormat="false" ht="15" hidden="false" customHeight="false" outlineLevel="0" collapsed="false">
      <c r="A40" s="5" t="s">
        <v>160</v>
      </c>
      <c r="B40" s="27" t="n">
        <v>5</v>
      </c>
      <c r="C40" s="28" t="s">
        <v>161</v>
      </c>
      <c r="D40" s="28"/>
      <c r="E40" s="28"/>
      <c r="F40" s="28"/>
      <c r="G40" s="28"/>
    </row>
    <row r="41" customFormat="false" ht="15" hidden="false" customHeight="false" outlineLevel="0" collapsed="false">
      <c r="A41" s="5" t="s">
        <v>162</v>
      </c>
      <c r="B41" s="27" t="n">
        <v>5</v>
      </c>
      <c r="C41" s="28" t="s">
        <v>163</v>
      </c>
      <c r="D41" s="28"/>
      <c r="E41" s="28"/>
      <c r="F41" s="28"/>
      <c r="G41" s="28"/>
    </row>
    <row r="42" customFormat="false" ht="15" hidden="false" customHeight="false" outlineLevel="0" collapsed="false">
      <c r="A42" s="18" t="s">
        <v>164</v>
      </c>
      <c r="B42" s="29" t="n">
        <f aca="false">SUM(B37:B41)</f>
        <v>30</v>
      </c>
      <c r="C42" s="30" t="str">
        <f aca="false">IF(B42&gt;=40,"Strong — supports Bull Case",IF(B42&gt;=25,"Neutral — not a differentiator","Risk — supports Bear Case"))</f>
        <v>Neutral — not a differentiator</v>
      </c>
      <c r="D42" s="30"/>
      <c r="E42" s="30"/>
      <c r="F42" s="30"/>
      <c r="G42" s="30"/>
    </row>
  </sheetData>
  <mergeCells count="7">
    <mergeCell ref="C36:G36"/>
    <mergeCell ref="C37:G37"/>
    <mergeCell ref="C38:G38"/>
    <mergeCell ref="C39:G39"/>
    <mergeCell ref="C40:G40"/>
    <mergeCell ref="C41:G41"/>
    <mergeCell ref="C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167</v>
      </c>
      <c r="B4" s="4"/>
    </row>
    <row r="5" customFormat="false" ht="15" hidden="false" customHeight="false" outlineLevel="0" collapsed="false">
      <c r="A5" s="5" t="s">
        <v>4</v>
      </c>
      <c r="B5" s="7" t="n">
        <f aca="false">Dashboard!C6</f>
        <v>27.75</v>
      </c>
    </row>
    <row r="6" customFormat="false" ht="15" hidden="false" customHeight="false" outlineLevel="0" collapsed="false">
      <c r="A6" s="5" t="s">
        <v>168</v>
      </c>
      <c r="B6" s="6" t="n">
        <v>34.82</v>
      </c>
    </row>
    <row r="7" customFormat="false" ht="15" hidden="false" customHeight="false" outlineLevel="0" collapsed="false">
      <c r="A7" s="5" t="s">
        <v>169</v>
      </c>
      <c r="B7" s="6" t="n">
        <v>19.83</v>
      </c>
    </row>
    <row r="8" customFormat="false" ht="15" hidden="false" customHeight="false" outlineLevel="0" collapsed="false">
      <c r="A8" s="5" t="s">
        <v>170</v>
      </c>
      <c r="B8" s="6" t="n">
        <v>17.22</v>
      </c>
    </row>
    <row r="9" customFormat="false" ht="15" hidden="false" customHeight="false" outlineLevel="0" collapsed="false">
      <c r="A9" s="5" t="s">
        <v>171</v>
      </c>
      <c r="B9" s="7" t="n">
        <f aca="false">Model!B52</f>
        <v>23.5872211904435</v>
      </c>
    </row>
    <row r="10" customFormat="false" ht="15" hidden="false" customHeight="false" outlineLevel="0" collapsed="false">
      <c r="A10" s="5" t="s">
        <v>172</v>
      </c>
      <c r="B10" s="7" t="n">
        <f aca="false">Model!C52</f>
        <v>13.3685144418939</v>
      </c>
    </row>
    <row r="11" customFormat="false" ht="15" hidden="false" customHeight="false" outlineLevel="0" collapsed="false">
      <c r="A11" s="5" t="s">
        <v>173</v>
      </c>
      <c r="B11" s="7" t="n">
        <f aca="false">Model!D52</f>
        <v>6.92750714171357</v>
      </c>
    </row>
    <row r="13" customFormat="false" ht="15" hidden="false" customHeight="false" outlineLevel="0" collapsed="false">
      <c r="A13" s="3" t="s">
        <v>174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18" t="s">
        <v>175</v>
      </c>
      <c r="B14" s="18" t="s">
        <v>176</v>
      </c>
      <c r="C14" s="18" t="s">
        <v>177</v>
      </c>
      <c r="D14" s="18" t="s">
        <v>178</v>
      </c>
      <c r="E14" s="18" t="s">
        <v>179</v>
      </c>
      <c r="F14" s="18" t="s">
        <v>180</v>
      </c>
    </row>
    <row r="15" customFormat="false" ht="15" hidden="false" customHeight="false" outlineLevel="0" collapsed="false">
      <c r="A15" s="5" t="s">
        <v>181</v>
      </c>
      <c r="B15" s="8" t="s">
        <v>182</v>
      </c>
      <c r="C15" s="8" t="s">
        <v>183</v>
      </c>
      <c r="D15" s="8" t="s">
        <v>184</v>
      </c>
      <c r="E15" s="8" t="s">
        <v>185</v>
      </c>
      <c r="F15" s="8" t="s">
        <v>186</v>
      </c>
    </row>
    <row r="16" customFormat="false" ht="15" hidden="false" customHeight="false" outlineLevel="0" collapsed="false">
      <c r="A16" s="5" t="s">
        <v>187</v>
      </c>
      <c r="B16" s="8" t="s">
        <v>188</v>
      </c>
      <c r="C16" s="8" t="s">
        <v>189</v>
      </c>
      <c r="D16" s="8" t="s">
        <v>190</v>
      </c>
      <c r="E16" s="8" t="s">
        <v>191</v>
      </c>
      <c r="F16" s="8" t="s">
        <v>192</v>
      </c>
    </row>
    <row r="17" customFormat="false" ht="15" hidden="false" customHeight="false" outlineLevel="0" collapsed="false">
      <c r="A17" s="5" t="s">
        <v>193</v>
      </c>
      <c r="B17" s="8" t="s">
        <v>194</v>
      </c>
      <c r="C17" s="8" t="s">
        <v>195</v>
      </c>
      <c r="D17" s="8" t="s">
        <v>196</v>
      </c>
      <c r="E17" s="8" t="s">
        <v>197</v>
      </c>
      <c r="F17" s="8" t="s">
        <v>198</v>
      </c>
    </row>
    <row r="19" customFormat="false" ht="15" hidden="false" customHeight="false" outlineLevel="0" collapsed="false">
      <c r="A19" s="2" t="s">
        <v>199</v>
      </c>
    </row>
    <row r="20" customFormat="false" ht="15" hidden="false" customHeight="false" outlineLevel="0" collapsed="false">
      <c r="A20" s="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2026-08-11T14:34:54Z</dcterms:created>
  <dc:creator>openpyxl</dc:creator>
  <dc:description/>
  <dc:language>en-US</dc:language>
  <cp:lastModifiedBy/>
  <dcterms:modified xsi:type="dcterms:W3CDTF">2026-08-11T14:34:54Z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