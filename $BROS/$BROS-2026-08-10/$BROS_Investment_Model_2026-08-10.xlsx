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vmlDrawing4.vml" ContentType="application/vnd.openxmlformats-officedocument.vmlDrawing"/>
  <Override PartName="/xl/comments2.xml" ContentType="application/vnd.openxmlformats-officedocument.spreadsheetml.comments+xml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BROS_Model" sheetId="2" state="visible" r:id="rId4"/>
    <sheet name="Unit_Economics" sheetId="3" state="visible" r:id="rId5"/>
    <sheet name="Options_Strategy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5" authorId="0">
      <text>
        <r>
          <rPr>
            <sz val="10"/>
            <rFont val="Arial"/>
            <family val="2"/>
          </rPr>
          <t xml:space="preserve">stockanalysis.com close 8/10/26; fell ~18% on 8/6 after Q2 print</t>
        </r>
      </text>
    </comment>
    <comment ref="B6" authorId="0">
      <text>
        <r>
          <rPr>
            <sz val="10"/>
            <rFont val="Arial"/>
            <family val="2"/>
          </rPr>
          <t xml:space="preserve">stockanalysis.com</t>
        </r>
      </text>
    </comment>
    <comment ref="B7" authorId="0">
      <text>
        <r>
          <rPr>
            <sz val="10"/>
            <rFont val="Arial"/>
            <family val="2"/>
          </rPr>
          <t xml:space="preserve">Q2'26 release adj. fully exchanged wtd. diluted 178.1M; 180M used</t>
        </r>
      </text>
    </comment>
    <comment ref="B9" authorId="0">
      <text>
        <r>
          <rPr>
            <sz val="10"/>
            <rFont val="Arial"/>
            <family val="2"/>
          </rPr>
          <t xml:space="preserve">Q2'26 10-Q: $268.6M cash − $194.6M LT debt</t>
        </r>
      </text>
    </comment>
    <comment ref="B11" authorId="0">
      <text>
        <r>
          <rPr>
            <sz val="10"/>
            <rFont val="Arial"/>
            <family val="2"/>
          </rPr>
          <t xml:space="preserve">FY26 adj. EBITDA guide $385–390M</t>
        </r>
      </text>
    </comment>
    <comment ref="B14" authorId="0">
      <text>
        <r>
          <rPr>
            <sz val="10"/>
            <rFont val="Arial"/>
            <family val="2"/>
          </rPr>
          <t xml:space="preserve">+32.5% YoY vs $415.8M</t>
        </r>
      </text>
    </comment>
    <comment ref="B16" authorId="0">
      <text>
        <r>
          <rPr>
            <sz val="10"/>
            <rFont val="Arial"/>
            <family val="2"/>
          </rPr>
          <t xml:space="preserve">Co-op SSS +8.3%; system transactions +1.7%, ticket +4.1%</t>
        </r>
      </text>
    </comment>
    <comment ref="B17" authorId="0">
      <text>
        <r>
          <rPr>
            <sz val="10"/>
            <rFont val="Arial"/>
            <family val="2"/>
          </rPr>
          <t xml:space="preserve">Down from +3.7% PY — the traffic deceleration signal</t>
        </r>
      </text>
    </comment>
    <comment ref="B18" authorId="0">
      <text>
        <r>
          <rPr>
            <sz val="10"/>
            <rFont val="Arial"/>
            <family val="2"/>
          </rPr>
          <t xml:space="preserve">vs 31.1% PY</t>
        </r>
      </text>
    </comment>
    <comment ref="B19" authorId="0">
      <text>
        <r>
          <rPr>
            <sz val="10"/>
            <rFont val="Arial"/>
            <family val="2"/>
          </rPr>
          <t xml:space="preserve">20.6% margin vs 21.4% PY</t>
        </r>
      </text>
    </comment>
    <comment ref="B20" authorId="0">
      <text>
        <r>
          <rPr>
            <sz val="10"/>
            <rFont val="Arial"/>
            <family val="2"/>
          </rPr>
          <t xml:space="preserve">vs $0.26 PY</t>
        </r>
      </text>
    </comment>
    <comment ref="B21" authorId="0">
      <text>
        <r>
          <rPr>
            <sz val="10"/>
            <rFont val="Arial"/>
            <family val="2"/>
          </rPr>
          <t xml:space="preserve">888 co-op / 337 franchised; 48 opened in Q2, 89 in H1</t>
        </r>
      </text>
    </comment>
    <comment ref="B24" authorId="0">
      <text>
        <r>
          <rPr>
            <sz val="10"/>
            <rFont val="Arial"/>
            <family val="2"/>
          </rPr>
          <t xml:space="preserve">Excludes Salad and Go</t>
        </r>
      </text>
    </comment>
    <comment ref="B37" authorId="0">
      <text>
        <r>
          <rPr>
            <sz val="10"/>
            <rFont val="Arial"/>
            <family val="2"/>
          </rPr>
          <t xml:space="preserve">Finviz, Aug 10 2026</t>
        </r>
      </text>
    </comment>
    <comment ref="B38" authorId="0">
      <text>
        <r>
          <rPr>
            <sz val="10"/>
            <rFont val="Arial"/>
            <family val="2"/>
          </rPr>
          <t xml:space="preserve">Finviz</t>
        </r>
      </text>
    </comment>
    <comment ref="B39" authorId="0">
      <text>
        <r>
          <rPr>
            <sz val="10"/>
            <rFont val="Arial"/>
            <family val="2"/>
          </rPr>
          <t xml:space="preserve">Finviz — price below all three SMAs</t>
        </r>
      </text>
    </comment>
    <comment ref="B40" authorId="0">
      <text>
        <r>
          <rPr>
            <sz val="10"/>
            <rFont val="Arial"/>
            <family val="2"/>
          </rPr>
          <t xml:space="preserve">stockinvest.us Aug 7 — deeply oversold</t>
        </r>
      </text>
    </comment>
    <comment ref="B41" authorId="0">
      <text>
        <r>
          <rPr>
            <sz val="10"/>
            <rFont val="Arial"/>
            <family val="2"/>
          </rPr>
          <t xml:space="preserve">psych level + 52-wk low</t>
        </r>
      </text>
    </comment>
    <comment ref="B42" authorId="0">
      <text>
        <r>
          <rPr>
            <sz val="10"/>
            <rFont val="Arial"/>
            <family val="2"/>
          </rPr>
          <t xml:space="preserve">gap-fill zone $57.5–65.6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5" authorId="0">
      <text>
        <r>
          <rPr>
            <sz val="10"/>
            <rFont val="Arial"/>
            <family val="2"/>
          </rPr>
          <t xml:space="preserve">Source: Q2 2026 8-K (Aug 5, 2026) — FY26 guidance raised to $2.10–$2.13B; midpoint $2,115M</t>
        </r>
      </text>
    </comment>
    <comment ref="B6" authorId="0">
      <text>
        <r>
          <rPr>
            <sz val="10"/>
            <rFont val="Arial"/>
            <family val="2"/>
          </rPr>
          <t xml:space="preserve">Source: Q2 2026 8-K — FY26 adj. EBITDA guidance raised to $385–$390M; midpoint $387.5M</t>
        </r>
      </text>
    </comment>
    <comment ref="B7" authorId="0">
      <text>
        <r>
          <rPr>
            <sz val="10"/>
            <rFont val="Arial"/>
            <family val="2"/>
          </rPr>
          <t xml:space="preserve">Methodology rule: one WACC across bull/base/bear. 12% per restaurant/pre-FCF default</t>
        </r>
      </text>
    </comment>
    <comment ref="B8" authorId="0">
      <text>
        <r>
          <rPr>
            <sz val="10"/>
            <rFont val="Arial"/>
            <family val="2"/>
          </rPr>
          <t xml:space="preserve">Q2 2026 10-Q balance sheet: $268.6M cash − $194.6M LT debt ≈ $74M net cash (6/30/26)</t>
        </r>
      </text>
    </comment>
    <comment ref="B9" authorId="0">
      <text>
        <r>
          <rPr>
            <sz val="10"/>
            <rFont val="Arial"/>
            <family val="2"/>
          </rPr>
          <t xml:space="preserve">Q2 2026 release: adjusted fully exchanged wtd. diluted 178.1M; 180M used for creep</t>
        </r>
      </text>
    </comment>
    <comment ref="B10" authorId="0">
      <text>
        <r>
          <rPr>
            <sz val="10"/>
            <rFont val="Arial"/>
            <family val="2"/>
          </rPr>
          <t xml:space="preserve">Aug 2026 → Dec 2030 ≈ 4.4 years</t>
        </r>
      </text>
    </comment>
    <comment ref="B11" authorId="0">
      <text>
        <r>
          <rPr>
            <sz val="10"/>
            <rFont val="Arial"/>
            <family val="2"/>
          </rPr>
          <t xml:space="preserve">Simplifying assumption: cash taxes ≈ 15% of EBITDA</t>
        </r>
      </text>
    </comment>
    <comment ref="B12" authorId="0">
      <text>
        <r>
          <rPr>
            <sz val="10"/>
            <rFont val="Arial"/>
            <family val="2"/>
          </rPr>
          <t xml:space="preserve">FY26 capex guide $350–370M ÷ $2,115M rev ≈ 17%</t>
        </r>
      </text>
    </comment>
    <comment ref="B13" authorId="0">
      <text>
        <r>
          <rPr>
            <sz val="10"/>
            <rFont val="Arial"/>
            <family val="2"/>
          </rPr>
          <t xml:space="preserve">Assumes growth capex moderates as fleet matures</t>
        </r>
      </text>
    </comment>
    <comment ref="B16" authorId="0">
      <text>
        <r>
          <rPr>
            <sz val="10"/>
            <rFont val="Arial"/>
            <family val="2"/>
          </rPr>
          <t xml:space="preserve">Scenario lever</t>
        </r>
      </text>
    </comment>
    <comment ref="B17" authorId="0">
      <text>
        <r>
          <rPr>
            <sz val="10"/>
            <rFont val="Arial"/>
            <family val="2"/>
          </rPr>
          <t xml:space="preserve">Scenario lever — terminal multiple calibrated to this margin</t>
        </r>
      </text>
    </comment>
    <comment ref="B18" authorId="0">
      <text>
        <r>
          <rPr>
            <sz val="10"/>
            <rFont val="Arial"/>
            <family val="2"/>
          </rPr>
          <t xml:space="preserve">Calibrated to terminal margin: 18%→12x, 22%→18x, 26%→22x</t>
        </r>
      </text>
    </comment>
    <comment ref="B42" authorId="0">
      <text>
        <r>
          <rPr>
            <sz val="10"/>
            <rFont val="Arial"/>
            <family val="2"/>
          </rPr>
          <t xml:space="preserve">Scenario lever</t>
        </r>
      </text>
    </comment>
    <comment ref="B43" authorId="0">
      <text>
        <r>
          <rPr>
            <sz val="10"/>
            <rFont val="Arial"/>
            <family val="2"/>
          </rPr>
          <t xml:space="preserve">Scenario lever — terminal multiple calibrated to this margin</t>
        </r>
      </text>
    </comment>
    <comment ref="B44" authorId="0">
      <text>
        <r>
          <rPr>
            <sz val="10"/>
            <rFont val="Arial"/>
            <family val="2"/>
          </rPr>
          <t xml:space="preserve">Calibrated to terminal margin: 18%→12x, 22%→18x, 26%→22x</t>
        </r>
      </text>
    </comment>
    <comment ref="B68" authorId="0">
      <text>
        <r>
          <rPr>
            <sz val="10"/>
            <rFont val="Arial"/>
            <family val="2"/>
          </rPr>
          <t xml:space="preserve">Scenario lever</t>
        </r>
      </text>
    </comment>
    <comment ref="B69" authorId="0">
      <text>
        <r>
          <rPr>
            <sz val="10"/>
            <rFont val="Arial"/>
            <family val="2"/>
          </rPr>
          <t xml:space="preserve">Scenario lever — terminal multiple calibrated to this margin</t>
        </r>
      </text>
    </comment>
    <comment ref="B70" authorId="0">
      <text>
        <r>
          <rPr>
            <sz val="10"/>
            <rFont val="Arial"/>
            <family val="2"/>
          </rPr>
          <t xml:space="preserve">Calibrated to terminal margin: 18%→12x, 22%→18x, 26%→22x</t>
        </r>
      </text>
    </comment>
    <comment ref="C28" authorId="0">
      <text>
        <r>
          <rPr>
            <sz val="10"/>
            <rFont val="Arial"/>
            <family val="2"/>
          </rPr>
          <t xml:space="preserve">FY2026 partially elapsed — excluded from PV</t>
        </r>
      </text>
    </comment>
    <comment ref="C54" authorId="0">
      <text>
        <r>
          <rPr>
            <sz val="10"/>
            <rFont val="Arial"/>
            <family val="2"/>
          </rPr>
          <t xml:space="preserve">FY2026 partially elapsed — excluded from PV</t>
        </r>
      </text>
    </comment>
    <comment ref="C80" authorId="0">
      <text>
        <r>
          <rPr>
            <sz val="10"/>
            <rFont val="Arial"/>
            <family val="2"/>
          </rPr>
          <t xml:space="preserve">FY2026 partially elapsed — excluded from PV</t>
        </r>
      </text>
    </comment>
    <comment ref="D28" authorId="0">
      <text>
        <r>
          <rPr>
            <sz val="10"/>
            <rFont val="Arial"/>
            <family val="2"/>
          </rPr>
          <t xml:space="preserve">Mid-Aug 2026 valuation date: FY27 ≈ 1.4 yrs out, … FY30 ≈ 4.4 yrs</t>
        </r>
      </text>
    </comment>
    <comment ref="D54" authorId="0">
      <text>
        <r>
          <rPr>
            <sz val="10"/>
            <rFont val="Arial"/>
            <family val="2"/>
          </rPr>
          <t xml:space="preserve">Mid-Aug 2026 valuation date: FY27 ≈ 1.4 yrs out, … FY30 ≈ 4.4 yrs</t>
        </r>
      </text>
    </comment>
    <comment ref="D80" authorId="0">
      <text>
        <r>
          <rPr>
            <sz val="10"/>
            <rFont val="Arial"/>
            <family val="2"/>
          </rPr>
          <t xml:space="preserve">Mid-Aug 2026 valuation date: FY27 ≈ 1.4 yrs out, … FY30 ≈ 4.4 yrs</t>
        </r>
      </text>
    </comment>
    <comment ref="E28" authorId="0">
      <text>
        <r>
          <rPr>
            <sz val="10"/>
            <rFont val="Arial"/>
            <family val="2"/>
          </rPr>
          <t xml:space="preserve">Mid-Aug 2026 valuation date: FY27 ≈ 1.4 yrs out, … FY30 ≈ 4.4 yrs</t>
        </r>
      </text>
    </comment>
    <comment ref="E54" authorId="0">
      <text>
        <r>
          <rPr>
            <sz val="10"/>
            <rFont val="Arial"/>
            <family val="2"/>
          </rPr>
          <t xml:space="preserve">Mid-Aug 2026 valuation date: FY27 ≈ 1.4 yrs out, … FY30 ≈ 4.4 yrs</t>
        </r>
      </text>
    </comment>
    <comment ref="E80" authorId="0">
      <text>
        <r>
          <rPr>
            <sz val="10"/>
            <rFont val="Arial"/>
            <family val="2"/>
          </rPr>
          <t xml:space="preserve">Mid-Aug 2026 valuation date: FY27 ≈ 1.4 yrs out, … FY30 ≈ 4.4 yrs</t>
        </r>
      </text>
    </comment>
    <comment ref="F28" authorId="0">
      <text>
        <r>
          <rPr>
            <sz val="10"/>
            <rFont val="Arial"/>
            <family val="2"/>
          </rPr>
          <t xml:space="preserve">Mid-Aug 2026 valuation date: FY27 ≈ 1.4 yrs out, … FY30 ≈ 4.4 yrs</t>
        </r>
      </text>
    </comment>
    <comment ref="F54" authorId="0">
      <text>
        <r>
          <rPr>
            <sz val="10"/>
            <rFont val="Arial"/>
            <family val="2"/>
          </rPr>
          <t xml:space="preserve">Mid-Aug 2026 valuation date: FY27 ≈ 1.4 yrs out, … FY30 ≈ 4.4 yrs</t>
        </r>
      </text>
    </comment>
    <comment ref="F80" authorId="0">
      <text>
        <r>
          <rPr>
            <sz val="10"/>
            <rFont val="Arial"/>
            <family val="2"/>
          </rPr>
          <t xml:space="preserve">Mid-Aug 2026 valuation date: FY27 ≈ 1.4 yrs out, … FY30 ≈ 4.4 yrs</t>
        </r>
      </text>
    </comment>
    <comment ref="G28" authorId="0">
      <text>
        <r>
          <rPr>
            <sz val="10"/>
            <rFont val="Arial"/>
            <family val="2"/>
          </rPr>
          <t xml:space="preserve">Mid-Aug 2026 valuation date: FY27 ≈ 1.4 yrs out, … FY30 ≈ 4.4 yrs</t>
        </r>
      </text>
    </comment>
    <comment ref="G54" authorId="0">
      <text>
        <r>
          <rPr>
            <sz val="10"/>
            <rFont val="Arial"/>
            <family val="2"/>
          </rPr>
          <t xml:space="preserve">Mid-Aug 2026 valuation date: FY27 ≈ 1.4 yrs out, … FY30 ≈ 4.4 yrs</t>
        </r>
      </text>
    </comment>
    <comment ref="G80" authorId="0">
      <text>
        <r>
          <rPr>
            <sz val="10"/>
            <rFont val="Arial"/>
            <family val="2"/>
          </rPr>
          <t xml:space="preserve">Mid-Aug 2026 valuation date: FY27 ≈ 1.4 yrs out, … FY30 ≈ 4.4 yrs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32" authorId="0">
      <text>
        <r>
          <rPr>
            <sz val="10"/>
            <rFont val="Arial"/>
            <family val="2"/>
          </rPr>
          <t xml:space="preserve">Judgment input — 0/5/10</t>
        </r>
      </text>
    </comment>
    <comment ref="B33" authorId="0">
      <text>
        <r>
          <rPr>
            <sz val="10"/>
            <rFont val="Arial"/>
            <family val="2"/>
          </rPr>
          <t xml:space="preserve">Judgment input — 0/5/10</t>
        </r>
      </text>
    </comment>
    <comment ref="B34" authorId="0">
      <text>
        <r>
          <rPr>
            <sz val="10"/>
            <rFont val="Arial"/>
            <family val="2"/>
          </rPr>
          <t xml:space="preserve">Judgment input — 0/5/10</t>
        </r>
      </text>
    </comment>
    <comment ref="B35" authorId="0">
      <text>
        <r>
          <rPr>
            <sz val="10"/>
            <rFont val="Arial"/>
            <family val="2"/>
          </rPr>
          <t xml:space="preserve">Judgment input — 0/5/10</t>
        </r>
      </text>
    </comment>
    <comment ref="B36" authorId="0">
      <text>
        <r>
          <rPr>
            <sz val="10"/>
            <rFont val="Arial"/>
            <family val="2"/>
          </rPr>
          <t xml:space="preserve">Judgment input — 0/5/10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4" authorId="0">
      <text>
        <r>
          <rPr>
            <sz val="10"/>
            <rFont val="Arial"/>
            <family val="2"/>
          </rPr>
          <t xml:space="preserve">Aug 10, 2026 close</t>
        </r>
      </text>
    </comment>
    <comment ref="B5" authorId="0">
      <text>
        <r>
          <rPr>
            <sz val="10"/>
            <rFont val="Arial"/>
            <family val="2"/>
          </rPr>
          <t xml:space="preserve">Estimate — verify live quotes; daily vol ~4.2% last week</t>
        </r>
      </text>
    </comment>
  </commentList>
</comments>
</file>

<file path=xl/sharedStrings.xml><?xml version="1.0" encoding="utf-8"?>
<sst xmlns="http://schemas.openxmlformats.org/spreadsheetml/2006/main" count="284" uniqueCount="219">
  <si>
    <t xml:space="preserve">DUTCH BROS ($BROS) — DASHBOARD — 2026-08-10</t>
  </si>
  <si>
    <t xml:space="preserve">Quarterly update of 2026-06-05 analysis. Blue = hardcoded inputs, black = formulas, green = cross-sheet links.</t>
  </si>
  <si>
    <t xml:space="preserve">MARKET DATA</t>
  </si>
  <si>
    <t xml:space="preserve">Current price (Aug 10, 2026 close)</t>
  </si>
  <si>
    <t xml:space="preserve">52-week high / low</t>
  </si>
  <si>
    <t xml:space="preserve">$74.65 / $44.58</t>
  </si>
  <si>
    <t xml:space="preserve">Fully exchanged diluted shares (M)</t>
  </si>
  <si>
    <t xml:space="preserve">Market cap ($M)</t>
  </si>
  <si>
    <t xml:space="preserve">Net cash ($M)</t>
  </si>
  <si>
    <t xml:space="preserve">Enterprise value ($M)</t>
  </si>
  <si>
    <t xml:space="preserve">EV / FY2026E EBITDA ($387.5M guide mid)</t>
  </si>
  <si>
    <t xml:space="preserve">Q2 2026 ACTUALS (8-K, Aug 5 2026)</t>
  </si>
  <si>
    <t xml:space="preserve">Revenue ($M)</t>
  </si>
  <si>
    <t xml:space="preserve">Revenue growth YoY</t>
  </si>
  <si>
    <t xml:space="preserve">Systemwide SSS</t>
  </si>
  <si>
    <t xml:space="preserve">Systemwide transaction growth</t>
  </si>
  <si>
    <t xml:space="preserve">Co-op shop contribution margin</t>
  </si>
  <si>
    <t xml:space="preserve">Adj. EBITDA ($M)</t>
  </si>
  <si>
    <t xml:space="preserve">Adj. EPS (fully exchanged)</t>
  </si>
  <si>
    <t xml:space="preserve">Total shops (period end)</t>
  </si>
  <si>
    <t xml:space="preserve">FY2026 GUIDANCE (RAISED AUG 5)</t>
  </si>
  <si>
    <t xml:space="preserve">Revenue</t>
  </si>
  <si>
    <t xml:space="preserve">$2.10–$2.13B (was $2.05–$2.08B)</t>
  </si>
  <si>
    <t xml:space="preserve">5–6%</t>
  </si>
  <si>
    <t xml:space="preserve">Adj. EBITDA</t>
  </si>
  <si>
    <t xml:space="preserve">$385–$390M (was $370–$380M)</t>
  </si>
  <si>
    <t xml:space="preserve">Capex</t>
  </si>
  <si>
    <t xml:space="preserve">$350–$370M</t>
  </si>
  <si>
    <t xml:space="preserve">System shop openings</t>
  </si>
  <si>
    <t xml:space="preserve">≥185</t>
  </si>
  <si>
    <t xml:space="preserve">DCF INTRINSIC VALUE (EBITDA-TERMINAL, 12% WACC)</t>
  </si>
  <si>
    <t xml:space="preserve">Scenario</t>
  </si>
  <si>
    <t xml:space="preserve">Bear</t>
  </si>
  <si>
    <t xml:space="preserve">Base</t>
  </si>
  <si>
    <t xml:space="preserve">Bull</t>
  </si>
  <si>
    <t xml:space="preserve">Intrinsic price / share</t>
  </si>
  <si>
    <t xml:space="preserve">vs current price</t>
  </si>
  <si>
    <t xml:space="preserve">TECHNICAL SNAPSHOT</t>
  </si>
  <si>
    <t xml:space="preserve">20-day SMA</t>
  </si>
  <si>
    <t xml:space="preserve">50-day SMA</t>
  </si>
  <si>
    <t xml:space="preserve">200-day SMA</t>
  </si>
  <si>
    <t xml:space="preserve">RSI (14)</t>
  </si>
  <si>
    <t xml:space="preserve">Support</t>
  </si>
  <si>
    <t xml:space="preserve">$50–51, then $44.58</t>
  </si>
  <si>
    <t xml:space="preserve">Resistance</t>
  </si>
  <si>
    <t xml:space="preserve">$57–58 (200d), $63–64 (20/50d)</t>
  </si>
  <si>
    <t xml:space="preserve">DUTCH BROS ($BROS) — DCF MODEL (EBITDA-TERMINAL METHOD) — 2026-08-10</t>
  </si>
  <si>
    <t xml:space="preserve">Single 12% WACC across all scenarios. Terminal EV/EBITDA calibrated to terminal EBITDA margin. Restaurant methodology (not FCF Gordon Growth).</t>
  </si>
  <si>
    <t xml:space="preserve">GLOBAL INPUTS (blue = hardcoded)</t>
  </si>
  <si>
    <t xml:space="preserve">FY2026 Revenue — guidance midpoint ($M)</t>
  </si>
  <si>
    <t xml:space="preserve">FY2026 Adj. EBITDA — guidance midpoint ($M)</t>
  </si>
  <si>
    <t xml:space="preserve">WACC (single rate, all scenarios)</t>
  </si>
  <si>
    <t xml:space="preserve">Years to terminal (FY2030 year-end)</t>
  </si>
  <si>
    <t xml:space="preserve">Cash taxes (% of EBITDA, simplification)</t>
  </si>
  <si>
    <t xml:space="preserve">Capex % of revenue — FY2026</t>
  </si>
  <si>
    <t xml:space="preserve">Capex % of revenue — FY2030 (glide)</t>
  </si>
  <si>
    <t xml:space="preserve">BEAR CASE — SSS decelerates to 2–3%, traffic goes negative, margins compress; openings slow</t>
  </si>
  <si>
    <t xml:space="preserve">Revenue CAGR FY26→FY30</t>
  </si>
  <si>
    <t xml:space="preserve">Terminal EBITDA margin (FY2030)</t>
  </si>
  <si>
    <t xml:space="preserve">Terminal EV/EBITDA multiple</t>
  </si>
  <si>
    <t xml:space="preserve">Projection ($M)</t>
  </si>
  <si>
    <t xml:space="preserve">2026</t>
  </si>
  <si>
    <t xml:space="preserve">2027</t>
  </si>
  <si>
    <t xml:space="preserve">2028</t>
  </si>
  <si>
    <t xml:space="preserve">2029</t>
  </si>
  <si>
    <t xml:space="preserve">2030</t>
  </si>
  <si>
    <t xml:space="preserve">EBITDA margin %</t>
  </si>
  <si>
    <t xml:space="preserve">EBITDA</t>
  </si>
  <si>
    <t xml:space="preserve">Capex % rev</t>
  </si>
  <si>
    <t xml:space="preserve">Cash taxes</t>
  </si>
  <si>
    <t xml:space="preserve">FCF</t>
  </si>
  <si>
    <t xml:space="preserve">Discount factor</t>
  </si>
  <si>
    <t xml:space="preserve">PV of FCF</t>
  </si>
  <si>
    <t xml:space="preserve">Terminal EV (FY30 EBITDA × multiple) ($M)</t>
  </si>
  <si>
    <t xml:space="preserve">PV of Terminal Value ($M)</t>
  </si>
  <si>
    <t xml:space="preserve">PV of interim FCF FY27–FY30 ($M)</t>
  </si>
  <si>
    <t xml:space="preserve">Enterprise Value ($M)</t>
  </si>
  <si>
    <t xml:space="preserve">+ Net cash ($M)</t>
  </si>
  <si>
    <t xml:space="preserve">Equity Value ($M)</t>
  </si>
  <si>
    <t xml:space="preserve">÷ Fully exchanged diluted shares (M)</t>
  </si>
  <si>
    <t xml:space="preserve">INTRINSIC PRICE / SHARE</t>
  </si>
  <si>
    <t xml:space="preserve">BASE CASE — 18–20% revenue growth; SSS normalizes 4–5%; margins expand to 22% by FY2030</t>
  </si>
  <si>
    <t xml:space="preserve">BULL CASE — 22%+ growth via 2,029-shop 2029 goal + Salad and Go conversions; 26% terminal margin</t>
  </si>
  <si>
    <t xml:space="preserve">UNIT ECONOMICS + PEER COMPS + LEADERSHIP SCORECARD</t>
  </si>
  <si>
    <t xml:space="preserve">Restaurant methodology — Rule of 40 replaced by unit-economics scorecard (see non-SaaS adaptations).</t>
  </si>
  <si>
    <t xml:space="preserve">UNIT ECONOMICS SCORECARD (Q2 2026)</t>
  </si>
  <si>
    <t xml:space="preserve">Metric</t>
  </si>
  <si>
    <t xml:space="preserve">Value</t>
  </si>
  <si>
    <t xml:space="preserve">Watch</t>
  </si>
  <si>
    <t xml:space="preserve">+5.8%</t>
  </si>
  <si>
    <t xml:space="preserve">Q3 guide 4–5% = deceleration</t>
  </si>
  <si>
    <t xml:space="preserve">System transaction growth</t>
  </si>
  <si>
    <t xml:space="preserve">+1.7%</t>
  </si>
  <si>
    <t xml:space="preserve">ALERT if negative — was +3.7% PY</t>
  </si>
  <si>
    <t xml:space="preserve">Avg ticket growth</t>
  </si>
  <si>
    <t xml:space="preserve">+4.1%</t>
  </si>
  <si>
    <t xml:space="preserve">Pricing contribution &lt;1% in H2'26</t>
  </si>
  <si>
    <t xml:space="preserve">Co-op contribution margin</t>
  </si>
  <si>
    <t xml:space="preserve">30.6%</t>
  </si>
  <si>
    <t xml:space="preserve">vs 31.1% PY; coffee + occupancy pressure</t>
  </si>
  <si>
    <t xml:space="preserve">Adj. EBITDA margin</t>
  </si>
  <si>
    <t xml:space="preserve">20.6%</t>
  </si>
  <si>
    <t xml:space="preserve">vs 21.4% PY</t>
  </si>
  <si>
    <t xml:space="preserve">Net new shops (Q2 / H1)</t>
  </si>
  <si>
    <t xml:space="preserve">48 / 89</t>
  </si>
  <si>
    <t xml:space="preserve">On track for ≥185 FY26</t>
  </si>
  <si>
    <t xml:space="preserve">Total shops</t>
  </si>
  <si>
    <t xml:space="preserve">1,225 of 4,000+ potential</t>
  </si>
  <si>
    <t xml:space="preserve">~31% penetration; 2,029-shop 2029 goal, ~90% pipeline secured</t>
  </si>
  <si>
    <t xml:space="preserve">Est. AUV (systemwide)</t>
  </si>
  <si>
    <t xml:space="preserve">~$2.2M (est.)</t>
  </si>
  <si>
    <t xml:space="preserve">Q1'26 was $2.16M +6.6% YoY</t>
  </si>
  <si>
    <t xml:space="preserve">PEER COMPARABLES (approximate, Aug 2026)</t>
  </si>
  <si>
    <t xml:space="preserve">Company</t>
  </si>
  <si>
    <t xml:space="preserve">Ticker</t>
  </si>
  <si>
    <t xml:space="preserve">SSS %</t>
  </si>
  <si>
    <t xml:space="preserve">RL margin %</t>
  </si>
  <si>
    <t xml:space="preserve">EV/EBITDA (fwd)</t>
  </si>
  <si>
    <t xml:space="preserve">Rev growth (fwd)</t>
  </si>
  <si>
    <t xml:space="preserve">Note</t>
  </si>
  <si>
    <t xml:space="preserve">Dutch Bros</t>
  </si>
  <si>
    <t xml:space="preserve">BROS</t>
  </si>
  <si>
    <t xml:space="preserve">~31%</t>
  </si>
  <si>
    <t xml:space="preserve">~24x</t>
  </si>
  <si>
    <t xml:space="preserve">~25–28%</t>
  </si>
  <si>
    <t xml:space="preserve">Subject — fastest grower in set</t>
  </si>
  <si>
    <t xml:space="preserve">Starbucks</t>
  </si>
  <si>
    <t xml:space="preserve">SBUX</t>
  </si>
  <si>
    <t xml:space="preserve">~+1–3%</t>
  </si>
  <si>
    <t xml:space="preserve">n/a</t>
  </si>
  <si>
    <t xml:space="preserve">~16–18x</t>
  </si>
  <si>
    <t xml:space="preserve">~3–5%</t>
  </si>
  <si>
    <t xml:space="preserve">Scale leader, traffic-challenged</t>
  </si>
  <si>
    <t xml:space="preserve">Chipotle</t>
  </si>
  <si>
    <t xml:space="preserve">CMG</t>
  </si>
  <si>
    <t xml:space="preserve">~+2–4%</t>
  </si>
  <si>
    <t xml:space="preserve">~26–27%</t>
  </si>
  <si>
    <t xml:space="preserve">~24–27x</t>
  </si>
  <si>
    <t xml:space="preserve">~10–12%</t>
  </si>
  <si>
    <t xml:space="preserve">Margin benchmark</t>
  </si>
  <si>
    <t xml:space="preserve">CAVA</t>
  </si>
  <si>
    <t xml:space="preserve">~+5–8%</t>
  </si>
  <si>
    <t xml:space="preserve">~25%</t>
  </si>
  <si>
    <t xml:space="preserve">~40x+</t>
  </si>
  <si>
    <t xml:space="preserve">~20–25%</t>
  </si>
  <si>
    <t xml:space="preserve">Closest growth comp, richer multiple</t>
  </si>
  <si>
    <t xml:space="preserve">Shake Shack</t>
  </si>
  <si>
    <t xml:space="preserve">SHAK</t>
  </si>
  <si>
    <t xml:space="preserve">~21–22%</t>
  </si>
  <si>
    <t xml:space="preserve">~22–26x</t>
  </si>
  <si>
    <t xml:space="preserve">~12–15%</t>
  </si>
  <si>
    <t xml:space="preserve">Mid-growth fast casual</t>
  </si>
  <si>
    <t xml:space="preserve">Wingstop</t>
  </si>
  <si>
    <t xml:space="preserve">WING</t>
  </si>
  <si>
    <t xml:space="preserve">~flat–+3%</t>
  </si>
  <si>
    <t xml:space="preserve">n/a (franchise)</t>
  </si>
  <si>
    <t xml:space="preserve">~38–45x</t>
  </si>
  <si>
    <t xml:space="preserve">~15–20%</t>
  </si>
  <si>
    <t xml:space="preserve">Franchise model premium</t>
  </si>
  <si>
    <t xml:space="preserve">7 Brew</t>
  </si>
  <si>
    <t xml:space="preserve">Private</t>
  </si>
  <si>
    <t xml:space="preserve">Rapid</t>
  </si>
  <si>
    <t xml:space="preserve">Most direct drive-thru competitor</t>
  </si>
  <si>
    <t xml:space="preserve">Peer figures are approximate (Aug 2026 web sources); directional context only.</t>
  </si>
  <si>
    <t xml:space="preserve">LEADERSHIP SCORECARD (Nash-style, 0/5/10 — evidence required)</t>
  </si>
  <si>
    <t xml:space="preserve">CEO: Christine Barone (hired, since Jan 2024; ex-Starbucks SVP, ex-True Food Kitchen CEO)</t>
  </si>
  <si>
    <t xml:space="preserve">Founder: Travis Boersma, Executive Chairman — 38.8% economic / 73.1% voting (Class B 10:1 super-vote)</t>
  </si>
  <si>
    <t xml:space="preserve">Criterion</t>
  </si>
  <si>
    <t xml:space="preserve">Score (0/5/10)</t>
  </si>
  <si>
    <t xml:space="preserve">Evidence</t>
  </si>
  <si>
    <t xml:space="preserve">Execution track record</t>
  </si>
  <si>
    <t xml:space="preserve">Q2'26 beat; FY26 rev guide raised to $2.10–2.13B and EBITDA to $385–390M; 32.5% rev growth; 89 H1 openings on ≥185 pace</t>
  </si>
  <si>
    <t xml:space="preserve">Founder / tenure / skin in game</t>
  </si>
  <si>
    <t xml:space="preserve">Founder Exec Chairman w/ 38.8% economic stake; but hired CEO tenure only 2.5 yrs; founder in programmatic sell-down</t>
  </si>
  <si>
    <t xml:space="preserve">Capital allocation</t>
  </si>
  <si>
    <t xml:space="preserve">Opportunistic distressed site buys (Clutch $20M/20 sites; Salad and Go $105M/65 sites) vs heavy capex $350–370M, negative FCF, no buybacks</t>
  </si>
  <si>
    <t xml:space="preserve">Insider activity (Form 4)</t>
  </si>
  <si>
    <t xml:space="preserve">No open-market buys; chair-linked entities sold 2.25M sh H1'26 @$60–64 — all 10b5-1 (routine); CEO sold 42k 10b5-1</t>
  </si>
  <si>
    <t xml:space="preserve">Governance &amp; alignment</t>
  </si>
  <si>
    <t xml:space="preserve">Dual-class: Boersma 73.1% votes vs 38.8% economics (Class B 10 votes/sh, sunset &lt;5%); separate CEO/Chair; no restatements</t>
  </si>
  <si>
    <t xml:space="preserve">COMPOSITE (max 50)</t>
  </si>
  <si>
    <t xml:space="preserve">OPTIONS STRATEGY — LONG EQUITY HOLDER OVERLAY</t>
  </si>
  <si>
    <t xml:space="preserve">MARKET DATA REFERENCE</t>
  </si>
  <si>
    <t xml:space="preserve">Current price</t>
  </si>
  <si>
    <t xml:space="preserve">Est. IV (post-earnings)</t>
  </si>
  <si>
    <t xml:space="preserve">~45–55% (est.)</t>
  </si>
  <si>
    <t xml:space="preserve">DCF base (model)</t>
  </si>
  <si>
    <t xml:space="preserve">DCF bear (model)</t>
  </si>
  <si>
    <t xml:space="preserve">Support / Resistance</t>
  </si>
  <si>
    <t xml:space="preserve">$50–51 / $57–58</t>
  </si>
  <si>
    <t xml:space="preserve">RECOMMENDED STRATEGIES (premiums are estimates — verify live)</t>
  </si>
  <si>
    <t xml:space="preserve">Strategy</t>
  </si>
  <si>
    <t xml:space="preserve">Structure</t>
  </si>
  <si>
    <t xml:space="preserve">Expiry</t>
  </si>
  <si>
    <t xml:space="preserve">Est. premium</t>
  </si>
  <si>
    <t xml:space="preserve">Max gain</t>
  </si>
  <si>
    <t xml:space="preserve">Max loss</t>
  </si>
  <si>
    <t xml:space="preserve">Rationale</t>
  </si>
  <si>
    <t xml:space="preserve">Covered Call (income)</t>
  </si>
  <si>
    <t xml:space="preserve">Sell $57.5–$60 Call</t>
  </si>
  <si>
    <t xml:space="preserve">6–8 wks</t>
  </si>
  <si>
    <t xml:space="preserve">~$1.30–$1.90/sh (~2.5–3.5% per cycle)</t>
  </si>
  <si>
    <t xml:space="preserve">Premium + upside to strike</t>
  </si>
  <si>
    <t xml:space="preserve">Shares called away above strike (opportunity cost)</t>
  </si>
  <si>
    <t xml:space="preserve">Strike sits at 200-day SMA / gap-fill resistance; per-cycle yield (NOT annualized)</t>
  </si>
  <si>
    <t xml:space="preserve">Cash-Secured Put (accumulate)</t>
  </si>
  <si>
    <t xml:space="preserve">Sell $47.5 Put</t>
  </si>
  <si>
    <t xml:space="preserve">~$1.60–$2.20/sh (~3.4–4.6% per cycle)</t>
  </si>
  <si>
    <t xml:space="preserve">Keep premium if &gt;$47.5 at expiry</t>
  </si>
  <si>
    <t xml:space="preserve">$4,530/contract if BROS → $0 (assigned at $47.5 − premium)</t>
  </si>
  <si>
    <t xml:space="preserve">Effective entry ~$45.5–46 — ~22% below rebuilt DCF base; disciplined add level</t>
  </si>
  <si>
    <t xml:space="preserve">CSP ladder (aggressive add)</t>
  </si>
  <si>
    <t xml:space="preserve">Sell $45 Put</t>
  </si>
  <si>
    <t xml:space="preserve">8–10 wks</t>
  </si>
  <si>
    <t xml:space="preserve">~$1.20–$1.70/sh (~2.7–3.8% per cycle)</t>
  </si>
  <si>
    <t xml:space="preserve">Keep premium if &gt;$45</t>
  </si>
  <si>
    <t xml:space="preserve">$4,330/contract at max ($45 − premium)</t>
  </si>
  <si>
    <t xml:space="preserve">Assignment near 52-wk low $44.58; only if sized for bear case $26</t>
  </si>
  <si>
    <t xml:space="preserve">Sizing rule: compute max loss in dollars before sizing. Bear-case DCF is ~$26 — size so a move there is acceptable. Yields are per-cycle, not annualized.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</si>
</sst>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\$#,##0.00;&quot;($&quot;#,##0.00\);\-"/>
    <numFmt numFmtId="166" formatCode="#,##0;\(#,##0\);\-"/>
    <numFmt numFmtId="167" formatCode="\$#,##0;&quot;($&quot;#,##0\);\-"/>
    <numFmt numFmtId="168" formatCode="0.0\x"/>
    <numFmt numFmtId="169" formatCode="0.0%;\(0.0%\);\-"/>
    <numFmt numFmtId="170" formatCode="0.0"/>
    <numFmt numFmtId="171" formatCode="0.0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8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sz val="10"/>
      <name val="Arial"/>
      <family val="2"/>
    </font>
    <font>
      <sz val="10"/>
      <color rgb="FF00800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9D9D9"/>
        <bgColor rgb="FFC6EFCE"/>
      </patternFill>
    </fill>
    <fill>
      <patternFill patternType="solid">
        <fgColor rgb="FFFFC7CE"/>
        <bgColor rgb="FFD9D9D9"/>
      </patternFill>
    </fill>
    <fill>
      <patternFill patternType="solid">
        <fgColor rgb="FFFFEB9C"/>
        <bgColor rgb="FFFFFFCC"/>
      </patternFill>
    </fill>
    <fill>
      <patternFill patternType="solid">
        <fgColor rgb="FFC6EFCE"/>
        <bgColor rgb="FFD9D9D9"/>
      </patternFill>
    </fill>
    <fill>
      <patternFill patternType="solid">
        <fgColor rgb="FFFFFF00"/>
        <bgColor rgb="FFFFFF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4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4" min="2" style="0" width="16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/>
    </row>
    <row r="5" customFormat="false" ht="15" hidden="false" customHeight="false" outlineLevel="0" collapsed="false">
      <c r="A5" s="4" t="s">
        <v>3</v>
      </c>
      <c r="B5" s="5" t="n">
        <v>51.29</v>
      </c>
    </row>
    <row r="6" customFormat="false" ht="15" hidden="false" customHeight="false" outlineLevel="0" collapsed="false">
      <c r="A6" s="4" t="s">
        <v>4</v>
      </c>
      <c r="B6" s="6" t="s">
        <v>5</v>
      </c>
    </row>
    <row r="7" customFormat="false" ht="15" hidden="false" customHeight="false" outlineLevel="0" collapsed="false">
      <c r="A7" s="4" t="s">
        <v>6</v>
      </c>
      <c r="B7" s="7" t="n">
        <v>180</v>
      </c>
    </row>
    <row r="8" customFormat="false" ht="15" hidden="false" customHeight="false" outlineLevel="0" collapsed="false">
      <c r="A8" s="4" t="s">
        <v>7</v>
      </c>
      <c r="B8" s="8" t="n">
        <f aca="false">B5*B7</f>
        <v>9232.2</v>
      </c>
    </row>
    <row r="9" customFormat="false" ht="15" hidden="false" customHeight="false" outlineLevel="0" collapsed="false">
      <c r="A9" s="4" t="s">
        <v>8</v>
      </c>
      <c r="B9" s="9" t="n">
        <v>74</v>
      </c>
    </row>
    <row r="10" customFormat="false" ht="15" hidden="false" customHeight="false" outlineLevel="0" collapsed="false">
      <c r="A10" s="4" t="s">
        <v>9</v>
      </c>
      <c r="B10" s="8" t="n">
        <f aca="false">B8-B9</f>
        <v>9158.2</v>
      </c>
    </row>
    <row r="11" customFormat="false" ht="15" hidden="false" customHeight="false" outlineLevel="0" collapsed="false">
      <c r="A11" s="4" t="s">
        <v>10</v>
      </c>
      <c r="B11" s="10" t="n">
        <f aca="false">B10/387.5</f>
        <v>23.634064516129</v>
      </c>
    </row>
    <row r="13" customFormat="false" ht="15" hidden="false" customHeight="false" outlineLevel="0" collapsed="false">
      <c r="A13" s="3" t="s">
        <v>11</v>
      </c>
      <c r="B13" s="3"/>
    </row>
    <row r="14" customFormat="false" ht="15" hidden="false" customHeight="false" outlineLevel="0" collapsed="false">
      <c r="A14" s="4" t="s">
        <v>12</v>
      </c>
      <c r="B14" s="9" t="n">
        <v>550.9</v>
      </c>
    </row>
    <row r="15" customFormat="false" ht="15" hidden="false" customHeight="false" outlineLevel="0" collapsed="false">
      <c r="A15" s="4" t="s">
        <v>13</v>
      </c>
      <c r="B15" s="11" t="n">
        <v>0.325</v>
      </c>
    </row>
    <row r="16" customFormat="false" ht="15" hidden="false" customHeight="false" outlineLevel="0" collapsed="false">
      <c r="A16" s="4" t="s">
        <v>14</v>
      </c>
      <c r="B16" s="11" t="n">
        <v>0.058</v>
      </c>
    </row>
    <row r="17" customFormat="false" ht="15" hidden="false" customHeight="false" outlineLevel="0" collapsed="false">
      <c r="A17" s="4" t="s">
        <v>15</v>
      </c>
      <c r="B17" s="11" t="n">
        <v>0.017</v>
      </c>
    </row>
    <row r="18" customFormat="false" ht="15" hidden="false" customHeight="false" outlineLevel="0" collapsed="false">
      <c r="A18" s="4" t="s">
        <v>16</v>
      </c>
      <c r="B18" s="11" t="n">
        <v>0.306</v>
      </c>
    </row>
    <row r="19" customFormat="false" ht="15" hidden="false" customHeight="false" outlineLevel="0" collapsed="false">
      <c r="A19" s="4" t="s">
        <v>17</v>
      </c>
      <c r="B19" s="9" t="n">
        <v>113.7</v>
      </c>
    </row>
    <row r="20" customFormat="false" ht="15" hidden="false" customHeight="false" outlineLevel="0" collapsed="false">
      <c r="A20" s="4" t="s">
        <v>18</v>
      </c>
      <c r="B20" s="5" t="n">
        <v>0.33</v>
      </c>
    </row>
    <row r="21" customFormat="false" ht="15" hidden="false" customHeight="false" outlineLevel="0" collapsed="false">
      <c r="A21" s="4" t="s">
        <v>19</v>
      </c>
      <c r="B21" s="7" t="n">
        <v>1225</v>
      </c>
    </row>
    <row r="23" customFormat="false" ht="15" hidden="false" customHeight="false" outlineLevel="0" collapsed="false">
      <c r="A23" s="3" t="s">
        <v>20</v>
      </c>
      <c r="B23" s="3"/>
    </row>
    <row r="24" customFormat="false" ht="15" hidden="false" customHeight="false" outlineLevel="0" collapsed="false">
      <c r="A24" s="4" t="s">
        <v>21</v>
      </c>
      <c r="B24" s="6" t="s">
        <v>22</v>
      </c>
    </row>
    <row r="25" customFormat="false" ht="15" hidden="false" customHeight="false" outlineLevel="0" collapsed="false">
      <c r="A25" s="4" t="s">
        <v>14</v>
      </c>
      <c r="B25" s="6" t="s">
        <v>23</v>
      </c>
    </row>
    <row r="26" customFormat="false" ht="15" hidden="false" customHeight="false" outlineLevel="0" collapsed="false">
      <c r="A26" s="4" t="s">
        <v>24</v>
      </c>
      <c r="B26" s="6" t="s">
        <v>25</v>
      </c>
    </row>
    <row r="27" customFormat="false" ht="15" hidden="false" customHeight="false" outlineLevel="0" collapsed="false">
      <c r="A27" s="4" t="s">
        <v>26</v>
      </c>
      <c r="B27" s="6" t="s">
        <v>27</v>
      </c>
    </row>
    <row r="28" customFormat="false" ht="15" hidden="false" customHeight="false" outlineLevel="0" collapsed="false">
      <c r="A28" s="4" t="s">
        <v>28</v>
      </c>
      <c r="B28" s="6" t="s">
        <v>29</v>
      </c>
    </row>
    <row r="30" customFormat="false" ht="15" hidden="false" customHeight="false" outlineLevel="0" collapsed="false">
      <c r="A30" s="3" t="s">
        <v>30</v>
      </c>
      <c r="B30" s="3"/>
      <c r="C30" s="3"/>
      <c r="D30" s="3"/>
    </row>
    <row r="31" customFormat="false" ht="15" hidden="false" customHeight="false" outlineLevel="0" collapsed="false">
      <c r="A31" s="12" t="s">
        <v>31</v>
      </c>
      <c r="B31" s="13" t="s">
        <v>32</v>
      </c>
      <c r="C31" s="14" t="s">
        <v>33</v>
      </c>
      <c r="D31" s="15" t="s">
        <v>34</v>
      </c>
    </row>
    <row r="32" customFormat="false" ht="15" hidden="false" customHeight="false" outlineLevel="0" collapsed="false">
      <c r="A32" s="16" t="s">
        <v>35</v>
      </c>
      <c r="B32" s="17" t="n">
        <f aca="false">BROS_Model!B38</f>
        <v>25.9138473477758</v>
      </c>
      <c r="C32" s="17" t="n">
        <f aca="false">BROS_Model!B64</f>
        <v>58.768799080157</v>
      </c>
      <c r="D32" s="17" t="n">
        <f aca="false">BROS_Model!B90</f>
        <v>96.5154726809371</v>
      </c>
    </row>
    <row r="33" customFormat="false" ht="15" hidden="false" customHeight="false" outlineLevel="0" collapsed="false">
      <c r="A33" s="4" t="s">
        <v>36</v>
      </c>
      <c r="B33" s="18" t="n">
        <f aca="false">B32/$B$5-1</f>
        <v>-0.494758289183548</v>
      </c>
      <c r="C33" s="18" t="n">
        <f aca="false">C32/$B$5-1</f>
        <v>0.145813980896023</v>
      </c>
      <c r="D33" s="18" t="n">
        <f aca="false">D32/$B$5-1</f>
        <v>0.881760044471381</v>
      </c>
    </row>
    <row r="36" customFormat="false" ht="15" hidden="false" customHeight="false" outlineLevel="0" collapsed="false">
      <c r="A36" s="3" t="s">
        <v>37</v>
      </c>
      <c r="B36" s="3"/>
    </row>
    <row r="37" customFormat="false" ht="15" hidden="false" customHeight="false" outlineLevel="0" collapsed="false">
      <c r="A37" s="4" t="s">
        <v>38</v>
      </c>
      <c r="B37" s="5" t="n">
        <v>63.28</v>
      </c>
    </row>
    <row r="38" customFormat="false" ht="15" hidden="false" customHeight="false" outlineLevel="0" collapsed="false">
      <c r="A38" s="4" t="s">
        <v>39</v>
      </c>
      <c r="B38" s="5" t="n">
        <v>64.21</v>
      </c>
    </row>
    <row r="39" customFormat="false" ht="15" hidden="false" customHeight="false" outlineLevel="0" collapsed="false">
      <c r="A39" s="4" t="s">
        <v>40</v>
      </c>
      <c r="B39" s="5" t="n">
        <v>57.24</v>
      </c>
    </row>
    <row r="40" customFormat="false" ht="15" hidden="false" customHeight="false" outlineLevel="0" collapsed="false">
      <c r="A40" s="4" t="s">
        <v>41</v>
      </c>
      <c r="B40" s="7" t="n">
        <v>20</v>
      </c>
    </row>
    <row r="41" customFormat="false" ht="15" hidden="false" customHeight="false" outlineLevel="0" collapsed="false">
      <c r="A41" s="4" t="s">
        <v>42</v>
      </c>
      <c r="B41" s="6" t="s">
        <v>43</v>
      </c>
    </row>
    <row r="42" customFormat="false" ht="15" hidden="false" customHeight="false" outlineLevel="0" collapsed="false">
      <c r="A42" s="4" t="s">
        <v>44</v>
      </c>
      <c r="B42" s="6" t="s">
        <v>45</v>
      </c>
    </row>
  </sheetData>
  <mergeCells count="6">
    <mergeCell ref="A1:D1"/>
    <mergeCell ref="A4:B4"/>
    <mergeCell ref="A13:B13"/>
    <mergeCell ref="A23:B23"/>
    <mergeCell ref="A30:D30"/>
    <mergeCell ref="A36:B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8" min="2" style="0" width="13"/>
  </cols>
  <sheetData>
    <row r="1" customFormat="false" ht="17.35" hidden="false" customHeight="false" outlineLevel="0" collapsed="false">
      <c r="A1" s="1" t="s">
        <v>46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47</v>
      </c>
    </row>
    <row r="4" customFormat="false" ht="15" hidden="false" customHeight="false" outlineLevel="0" collapsed="false">
      <c r="A4" s="3" t="s">
        <v>48</v>
      </c>
      <c r="B4" s="3"/>
    </row>
    <row r="5" customFormat="false" ht="15" hidden="false" customHeight="false" outlineLevel="0" collapsed="false">
      <c r="A5" s="4" t="s">
        <v>49</v>
      </c>
      <c r="B5" s="9" t="n">
        <v>2115</v>
      </c>
    </row>
    <row r="6" customFormat="false" ht="15" hidden="false" customHeight="false" outlineLevel="0" collapsed="false">
      <c r="A6" s="4" t="s">
        <v>50</v>
      </c>
      <c r="B6" s="9" t="n">
        <v>387.5</v>
      </c>
    </row>
    <row r="7" customFormat="false" ht="15" hidden="false" customHeight="false" outlineLevel="0" collapsed="false">
      <c r="A7" s="4" t="s">
        <v>51</v>
      </c>
      <c r="B7" s="11" t="n">
        <v>0.12</v>
      </c>
    </row>
    <row r="8" customFormat="false" ht="15" hidden="false" customHeight="false" outlineLevel="0" collapsed="false">
      <c r="A8" s="4" t="s">
        <v>8</v>
      </c>
      <c r="B8" s="9" t="n">
        <v>74</v>
      </c>
    </row>
    <row r="9" customFormat="false" ht="15" hidden="false" customHeight="false" outlineLevel="0" collapsed="false">
      <c r="A9" s="4" t="s">
        <v>6</v>
      </c>
      <c r="B9" s="7" t="n">
        <v>180</v>
      </c>
    </row>
    <row r="10" customFormat="false" ht="15" hidden="false" customHeight="false" outlineLevel="0" collapsed="false">
      <c r="A10" s="4" t="s">
        <v>52</v>
      </c>
      <c r="B10" s="19" t="n">
        <v>4.4</v>
      </c>
    </row>
    <row r="11" customFormat="false" ht="15" hidden="false" customHeight="false" outlineLevel="0" collapsed="false">
      <c r="A11" s="4" t="s">
        <v>53</v>
      </c>
      <c r="B11" s="11" t="n">
        <v>0.15</v>
      </c>
    </row>
    <row r="12" customFormat="false" ht="15" hidden="false" customHeight="false" outlineLevel="0" collapsed="false">
      <c r="A12" s="4" t="s">
        <v>54</v>
      </c>
      <c r="B12" s="11" t="n">
        <v>0.17</v>
      </c>
    </row>
    <row r="13" customFormat="false" ht="15" hidden="false" customHeight="false" outlineLevel="0" collapsed="false">
      <c r="A13" s="4" t="s">
        <v>55</v>
      </c>
      <c r="B13" s="11" t="n">
        <v>0.1</v>
      </c>
    </row>
    <row r="15" customFormat="false" ht="15" hidden="false" customHeight="false" outlineLevel="0" collapsed="false">
      <c r="A15" s="3" t="s">
        <v>56</v>
      </c>
      <c r="B15" s="3"/>
      <c r="C15" s="3"/>
      <c r="D15" s="3"/>
      <c r="E15" s="3"/>
      <c r="F15" s="3"/>
      <c r="G15" s="3"/>
      <c r="H15" s="3"/>
    </row>
    <row r="16" customFormat="false" ht="15" hidden="false" customHeight="false" outlineLevel="0" collapsed="false">
      <c r="A16" s="4" t="s">
        <v>57</v>
      </c>
      <c r="B16" s="20" t="n">
        <v>0.12</v>
      </c>
    </row>
    <row r="17" customFormat="false" ht="15" hidden="false" customHeight="false" outlineLevel="0" collapsed="false">
      <c r="A17" s="4" t="s">
        <v>58</v>
      </c>
      <c r="B17" s="20" t="n">
        <v>0.18</v>
      </c>
    </row>
    <row r="18" customFormat="false" ht="15" hidden="false" customHeight="false" outlineLevel="0" collapsed="false">
      <c r="A18" s="4" t="s">
        <v>59</v>
      </c>
      <c r="B18" s="21" t="n">
        <v>12</v>
      </c>
    </row>
    <row r="20" customFormat="false" ht="15" hidden="false" customHeight="false" outlineLevel="0" collapsed="false">
      <c r="A20" s="12" t="s">
        <v>60</v>
      </c>
      <c r="C20" s="22" t="s">
        <v>61</v>
      </c>
      <c r="D20" s="22" t="s">
        <v>62</v>
      </c>
      <c r="E20" s="22" t="s">
        <v>63</v>
      </c>
      <c r="F20" s="22" t="s">
        <v>64</v>
      </c>
      <c r="G20" s="22" t="s">
        <v>65</v>
      </c>
    </row>
    <row r="21" customFormat="false" ht="15" hidden="false" customHeight="false" outlineLevel="0" collapsed="false">
      <c r="A21" s="4" t="s">
        <v>21</v>
      </c>
      <c r="C21" s="8" t="n">
        <f aca="false">$B$5</f>
        <v>2115</v>
      </c>
      <c r="D21" s="8" t="n">
        <f aca="false">C21*(1+$B$16)</f>
        <v>2368.8</v>
      </c>
      <c r="E21" s="8" t="n">
        <f aca="false">D21*(1+$B$16)</f>
        <v>2653.056</v>
      </c>
      <c r="F21" s="8" t="n">
        <f aca="false">E21*(1+$B$16)</f>
        <v>2971.42272</v>
      </c>
      <c r="G21" s="8" t="n">
        <f aca="false">F21*(1+$B$16)</f>
        <v>3327.9934464</v>
      </c>
    </row>
    <row r="22" customFormat="false" ht="15" hidden="false" customHeight="false" outlineLevel="0" collapsed="false">
      <c r="A22" s="4" t="s">
        <v>66</v>
      </c>
      <c r="C22" s="23" t="n">
        <f aca="false">$B$6/$B$5</f>
        <v>0.183215130023641</v>
      </c>
      <c r="D22" s="23" t="n">
        <f aca="false">$B$6/$B$5+($B$17-$B$6/$B$5)*1/4</f>
        <v>0.18241134751773</v>
      </c>
      <c r="E22" s="23" t="n">
        <f aca="false">$B$6/$B$5+($B$17-$B$6/$B$5)*2/4</f>
        <v>0.18160756501182</v>
      </c>
      <c r="F22" s="23" t="n">
        <f aca="false">$B$6/$B$5+($B$17-$B$6/$B$5)*3/4</f>
        <v>0.18080378250591</v>
      </c>
      <c r="G22" s="23" t="n">
        <f aca="false">$B$6/$B$5+($B$17-$B$6/$B$5)*4/4</f>
        <v>0.18</v>
      </c>
    </row>
    <row r="23" customFormat="false" ht="15" hidden="false" customHeight="false" outlineLevel="0" collapsed="false">
      <c r="A23" s="4" t="s">
        <v>67</v>
      </c>
      <c r="C23" s="8" t="n">
        <f aca="false">C21*C22</f>
        <v>387.5</v>
      </c>
      <c r="D23" s="8" t="n">
        <f aca="false">D21*D22</f>
        <v>432.096</v>
      </c>
      <c r="E23" s="8" t="n">
        <f aca="false">E21*E22</f>
        <v>481.81504</v>
      </c>
      <c r="F23" s="8" t="n">
        <f aca="false">F21*F22</f>
        <v>537.2444672</v>
      </c>
      <c r="G23" s="8" t="n">
        <f aca="false">G21*G22</f>
        <v>599.038820352</v>
      </c>
    </row>
    <row r="24" customFormat="false" ht="15" hidden="false" customHeight="false" outlineLevel="0" collapsed="false">
      <c r="A24" s="4" t="s">
        <v>68</v>
      </c>
      <c r="C24" s="23" t="n">
        <f aca="false">$B$12+($B$13-$B$12)*0/4</f>
        <v>0.17</v>
      </c>
      <c r="D24" s="23" t="n">
        <f aca="false">$B$12+($B$13-$B$12)*1/4</f>
        <v>0.1525</v>
      </c>
      <c r="E24" s="23" t="n">
        <f aca="false">$B$12+($B$13-$B$12)*2/4</f>
        <v>0.135</v>
      </c>
      <c r="F24" s="23" t="n">
        <f aca="false">$B$12+($B$13-$B$12)*3/4</f>
        <v>0.1175</v>
      </c>
      <c r="G24" s="23" t="n">
        <f aca="false">$B$12+($B$13-$B$12)*4/4</f>
        <v>0.1</v>
      </c>
    </row>
    <row r="25" customFormat="false" ht="15" hidden="false" customHeight="false" outlineLevel="0" collapsed="false">
      <c r="A25" s="4" t="s">
        <v>26</v>
      </c>
      <c r="C25" s="8" t="n">
        <f aca="false">C21*C24</f>
        <v>359.55</v>
      </c>
      <c r="D25" s="8" t="n">
        <f aca="false">D21*D24</f>
        <v>361.242</v>
      </c>
      <c r="E25" s="8" t="n">
        <f aca="false">E21*E24</f>
        <v>358.16256</v>
      </c>
      <c r="F25" s="8" t="n">
        <f aca="false">F21*F24</f>
        <v>349.1421696</v>
      </c>
      <c r="G25" s="8" t="n">
        <f aca="false">G21*G24</f>
        <v>332.79934464</v>
      </c>
    </row>
    <row r="26" customFormat="false" ht="15" hidden="false" customHeight="false" outlineLevel="0" collapsed="false">
      <c r="A26" s="4" t="s">
        <v>69</v>
      </c>
      <c r="C26" s="8" t="n">
        <f aca="false">C23*$B$11</f>
        <v>58.125</v>
      </c>
      <c r="D26" s="8" t="n">
        <f aca="false">D23*$B$11</f>
        <v>64.8144</v>
      </c>
      <c r="E26" s="8" t="n">
        <f aca="false">E23*$B$11</f>
        <v>72.272256</v>
      </c>
      <c r="F26" s="8" t="n">
        <f aca="false">F23*$B$11</f>
        <v>80.58667008</v>
      </c>
      <c r="G26" s="8" t="n">
        <f aca="false">G23*$B$11</f>
        <v>89.8558230528</v>
      </c>
    </row>
    <row r="27" customFormat="false" ht="15" hidden="false" customHeight="false" outlineLevel="0" collapsed="false">
      <c r="A27" s="4" t="s">
        <v>70</v>
      </c>
      <c r="C27" s="8" t="n">
        <f aca="false">C23-C25-C26</f>
        <v>-30.175</v>
      </c>
      <c r="D27" s="8" t="n">
        <f aca="false">D23-D25-D26</f>
        <v>6.03959999999988</v>
      </c>
      <c r="E27" s="8" t="n">
        <f aca="false">E23-E25-E26</f>
        <v>51.380224</v>
      </c>
      <c r="F27" s="8" t="n">
        <f aca="false">F23-F25-F26</f>
        <v>107.51562752</v>
      </c>
      <c r="G27" s="8" t="n">
        <f aca="false">G23-G25-G26</f>
        <v>176.3836526592</v>
      </c>
    </row>
    <row r="28" customFormat="false" ht="15" hidden="false" customHeight="false" outlineLevel="0" collapsed="false">
      <c r="A28" s="4" t="s">
        <v>71</v>
      </c>
      <c r="C28" s="24" t="n">
        <v>0</v>
      </c>
      <c r="D28" s="24" t="n">
        <f aca="false">1/(1+$B$7)^(1+0.4)</f>
        <v>0.853286291000681</v>
      </c>
      <c r="E28" s="24" t="n">
        <f aca="false">1/(1+$B$7)^(2+0.4)</f>
        <v>0.761862759822037</v>
      </c>
      <c r="F28" s="24" t="n">
        <f aca="false">1/(1+$B$7)^(3+0.4)</f>
        <v>0.680234606983961</v>
      </c>
      <c r="G28" s="24" t="n">
        <f aca="false">1/(1+$B$7)^(4+0.4)</f>
        <v>0.607352327664251</v>
      </c>
    </row>
    <row r="29" customFormat="false" ht="15" hidden="false" customHeight="false" outlineLevel="0" collapsed="false">
      <c r="A29" s="4" t="s">
        <v>72</v>
      </c>
      <c r="C29" s="8" t="n">
        <f aca="false">C27*C28</f>
        <v>-0</v>
      </c>
      <c r="D29" s="8" t="n">
        <f aca="false">D27*D28</f>
        <v>5.15350788312761</v>
      </c>
      <c r="E29" s="8" t="n">
        <f aca="false">E27*E28</f>
        <v>39.1446792569144</v>
      </c>
      <c r="F29" s="8" t="n">
        <f aca="false">F27*F28</f>
        <v>73.1358506307012</v>
      </c>
      <c r="G29" s="8" t="n">
        <f aca="false">G27*G28</f>
        <v>107.127022004488</v>
      </c>
    </row>
    <row r="31" customFormat="false" ht="15" hidden="false" customHeight="false" outlineLevel="0" collapsed="false">
      <c r="A31" s="4" t="s">
        <v>73</v>
      </c>
      <c r="B31" s="8" t="n">
        <f aca="false">G23*$B$18</f>
        <v>7188.465844224</v>
      </c>
    </row>
    <row r="32" customFormat="false" ht="15" hidden="false" customHeight="false" outlineLevel="0" collapsed="false">
      <c r="A32" s="4" t="s">
        <v>74</v>
      </c>
      <c r="B32" s="8" t="n">
        <f aca="false">G23*$B$18/(1+$B$7)^$B$10</f>
        <v>4365.93146282442</v>
      </c>
    </row>
    <row r="33" customFormat="false" ht="15" hidden="false" customHeight="false" outlineLevel="0" collapsed="false">
      <c r="A33" s="4" t="s">
        <v>75</v>
      </c>
      <c r="B33" s="8" t="n">
        <f aca="false">SUM(D29:G29)</f>
        <v>224.561059775231</v>
      </c>
    </row>
    <row r="34" customFormat="false" ht="15" hidden="false" customHeight="false" outlineLevel="0" collapsed="false">
      <c r="A34" s="4" t="s">
        <v>76</v>
      </c>
      <c r="B34" s="8" t="n">
        <f aca="false">B32+B33</f>
        <v>4590.49252259965</v>
      </c>
    </row>
    <row r="35" customFormat="false" ht="15" hidden="false" customHeight="false" outlineLevel="0" collapsed="false">
      <c r="A35" s="4" t="s">
        <v>77</v>
      </c>
      <c r="B35" s="8" t="n">
        <f aca="false">$B$8</f>
        <v>74</v>
      </c>
    </row>
    <row r="36" customFormat="false" ht="15" hidden="false" customHeight="false" outlineLevel="0" collapsed="false">
      <c r="A36" s="4" t="s">
        <v>78</v>
      </c>
      <c r="B36" s="8" t="n">
        <f aca="false">B34+B35</f>
        <v>4664.49252259965</v>
      </c>
    </row>
    <row r="37" customFormat="false" ht="15" hidden="false" customHeight="false" outlineLevel="0" collapsed="false">
      <c r="A37" s="4" t="s">
        <v>79</v>
      </c>
      <c r="B37" s="25" t="n">
        <f aca="false">$B$9</f>
        <v>180</v>
      </c>
    </row>
    <row r="38" customFormat="false" ht="15" hidden="false" customHeight="false" outlineLevel="0" collapsed="false">
      <c r="A38" s="26" t="s">
        <v>80</v>
      </c>
      <c r="B38" s="27" t="n">
        <f aca="false">B36/B37</f>
        <v>25.9138473477758</v>
      </c>
    </row>
    <row r="41" customFormat="false" ht="15" hidden="false" customHeight="false" outlineLevel="0" collapsed="false">
      <c r="A41" s="3" t="s">
        <v>81</v>
      </c>
      <c r="B41" s="3"/>
      <c r="C41" s="3"/>
      <c r="D41" s="3"/>
      <c r="E41" s="3"/>
      <c r="F41" s="3"/>
      <c r="G41" s="3"/>
      <c r="H41" s="3"/>
    </row>
    <row r="42" customFormat="false" ht="15" hidden="false" customHeight="false" outlineLevel="0" collapsed="false">
      <c r="A42" s="4" t="s">
        <v>57</v>
      </c>
      <c r="B42" s="20" t="n">
        <v>0.185</v>
      </c>
    </row>
    <row r="43" customFormat="false" ht="15" hidden="false" customHeight="false" outlineLevel="0" collapsed="false">
      <c r="A43" s="4" t="s">
        <v>58</v>
      </c>
      <c r="B43" s="20" t="n">
        <v>0.22</v>
      </c>
    </row>
    <row r="44" customFormat="false" ht="15" hidden="false" customHeight="false" outlineLevel="0" collapsed="false">
      <c r="A44" s="4" t="s">
        <v>59</v>
      </c>
      <c r="B44" s="21" t="n">
        <v>18</v>
      </c>
    </row>
    <row r="46" customFormat="false" ht="15" hidden="false" customHeight="false" outlineLevel="0" collapsed="false">
      <c r="A46" s="12" t="s">
        <v>60</v>
      </c>
      <c r="C46" s="22" t="s">
        <v>61</v>
      </c>
      <c r="D46" s="22" t="s">
        <v>62</v>
      </c>
      <c r="E46" s="22" t="s">
        <v>63</v>
      </c>
      <c r="F46" s="22" t="s">
        <v>64</v>
      </c>
      <c r="G46" s="22" t="s">
        <v>65</v>
      </c>
    </row>
    <row r="47" customFormat="false" ht="15" hidden="false" customHeight="false" outlineLevel="0" collapsed="false">
      <c r="A47" s="4" t="s">
        <v>21</v>
      </c>
      <c r="C47" s="8" t="n">
        <f aca="false">$B$5</f>
        <v>2115</v>
      </c>
      <c r="D47" s="8" t="n">
        <f aca="false">C47*(1+$B$42)</f>
        <v>2506.275</v>
      </c>
      <c r="E47" s="8" t="n">
        <f aca="false">D47*(1+$B$42)</f>
        <v>2969.935875</v>
      </c>
      <c r="F47" s="8" t="n">
        <f aca="false">E47*(1+$B$42)</f>
        <v>3519.374011875</v>
      </c>
      <c r="G47" s="8" t="n">
        <f aca="false">F47*(1+$B$42)</f>
        <v>4170.45820407188</v>
      </c>
    </row>
    <row r="48" customFormat="false" ht="15" hidden="false" customHeight="false" outlineLevel="0" collapsed="false">
      <c r="A48" s="4" t="s">
        <v>66</v>
      </c>
      <c r="C48" s="23" t="n">
        <f aca="false">$B$6/$B$5</f>
        <v>0.183215130023641</v>
      </c>
      <c r="D48" s="23" t="n">
        <f aca="false">$B$6/$B$5+($B$43-$B$6/$B$5)*1/4</f>
        <v>0.19241134751773</v>
      </c>
      <c r="E48" s="23" t="n">
        <f aca="false">$B$6/$B$5+($B$43-$B$6/$B$5)*2/4</f>
        <v>0.20160756501182</v>
      </c>
      <c r="F48" s="23" t="n">
        <f aca="false">$B$6/$B$5+($B$43-$B$6/$B$5)*3/4</f>
        <v>0.21080378250591</v>
      </c>
      <c r="G48" s="23" t="n">
        <f aca="false">$B$6/$B$5+($B$43-$B$6/$B$5)*4/4</f>
        <v>0.22</v>
      </c>
    </row>
    <row r="49" customFormat="false" ht="15" hidden="false" customHeight="false" outlineLevel="0" collapsed="false">
      <c r="A49" s="4" t="s">
        <v>67</v>
      </c>
      <c r="C49" s="8" t="n">
        <f aca="false">C47*C48</f>
        <v>387.5</v>
      </c>
      <c r="D49" s="8" t="n">
        <f aca="false">D47*D48</f>
        <v>482.23575</v>
      </c>
      <c r="E49" s="8" t="n">
        <f aca="false">E47*E48</f>
        <v>598.76154</v>
      </c>
      <c r="F49" s="8" t="n">
        <f aca="false">F47*F48</f>
        <v>741.89735375625</v>
      </c>
      <c r="G49" s="8" t="n">
        <f aca="false">G47*G48</f>
        <v>917.500804895813</v>
      </c>
    </row>
    <row r="50" customFormat="false" ht="15" hidden="false" customHeight="false" outlineLevel="0" collapsed="false">
      <c r="A50" s="4" t="s">
        <v>68</v>
      </c>
      <c r="C50" s="23" t="n">
        <f aca="false">$B$12+($B$13-$B$12)*0/4</f>
        <v>0.17</v>
      </c>
      <c r="D50" s="23" t="n">
        <f aca="false">$B$12+($B$13-$B$12)*1/4</f>
        <v>0.1525</v>
      </c>
      <c r="E50" s="23" t="n">
        <f aca="false">$B$12+($B$13-$B$12)*2/4</f>
        <v>0.135</v>
      </c>
      <c r="F50" s="23" t="n">
        <f aca="false">$B$12+($B$13-$B$12)*3/4</f>
        <v>0.1175</v>
      </c>
      <c r="G50" s="23" t="n">
        <f aca="false">$B$12+($B$13-$B$12)*4/4</f>
        <v>0.1</v>
      </c>
    </row>
    <row r="51" customFormat="false" ht="15" hidden="false" customHeight="false" outlineLevel="0" collapsed="false">
      <c r="A51" s="4" t="s">
        <v>26</v>
      </c>
      <c r="C51" s="8" t="n">
        <f aca="false">C47*C50</f>
        <v>359.55</v>
      </c>
      <c r="D51" s="8" t="n">
        <f aca="false">D47*D50</f>
        <v>382.2069375</v>
      </c>
      <c r="E51" s="8" t="n">
        <f aca="false">E47*E50</f>
        <v>400.941343125</v>
      </c>
      <c r="F51" s="8" t="n">
        <f aca="false">F47*F50</f>
        <v>413.526446395313</v>
      </c>
      <c r="G51" s="8" t="n">
        <f aca="false">G47*G50</f>
        <v>417.045820407188</v>
      </c>
    </row>
    <row r="52" customFormat="false" ht="15" hidden="false" customHeight="false" outlineLevel="0" collapsed="false">
      <c r="A52" s="4" t="s">
        <v>69</v>
      </c>
      <c r="C52" s="8" t="n">
        <f aca="false">C49*$B$11</f>
        <v>58.125</v>
      </c>
      <c r="D52" s="8" t="n">
        <f aca="false">D49*$B$11</f>
        <v>72.3353625</v>
      </c>
      <c r="E52" s="8" t="n">
        <f aca="false">E49*$B$11</f>
        <v>89.814231</v>
      </c>
      <c r="F52" s="8" t="n">
        <f aca="false">F49*$B$11</f>
        <v>111.284603063438</v>
      </c>
      <c r="G52" s="8" t="n">
        <f aca="false">G49*$B$11</f>
        <v>137.625120734372</v>
      </c>
    </row>
    <row r="53" customFormat="false" ht="15" hidden="false" customHeight="false" outlineLevel="0" collapsed="false">
      <c r="A53" s="4" t="s">
        <v>70</v>
      </c>
      <c r="C53" s="8" t="n">
        <f aca="false">C49-C51-C52</f>
        <v>-30.175</v>
      </c>
      <c r="D53" s="8" t="n">
        <f aca="false">D49-D51-D52</f>
        <v>27.6934499999999</v>
      </c>
      <c r="E53" s="8" t="n">
        <f aca="false">E49-E51-E52</f>
        <v>108.005965875</v>
      </c>
      <c r="F53" s="8" t="n">
        <f aca="false">F49-F51-F52</f>
        <v>217.0863042975</v>
      </c>
      <c r="G53" s="8" t="n">
        <f aca="false">G49-G51-G52</f>
        <v>362.829863754253</v>
      </c>
    </row>
    <row r="54" customFormat="false" ht="15" hidden="false" customHeight="false" outlineLevel="0" collapsed="false">
      <c r="A54" s="4" t="s">
        <v>71</v>
      </c>
      <c r="C54" s="24" t="n">
        <v>0</v>
      </c>
      <c r="D54" s="24" t="n">
        <f aca="false">1/(1+$B$7)^(1+0.4)</f>
        <v>0.853286291000681</v>
      </c>
      <c r="E54" s="24" t="n">
        <f aca="false">1/(1+$B$7)^(2+0.4)</f>
        <v>0.761862759822037</v>
      </c>
      <c r="F54" s="24" t="n">
        <f aca="false">1/(1+$B$7)^(3+0.4)</f>
        <v>0.680234606983961</v>
      </c>
      <c r="G54" s="24" t="n">
        <f aca="false">1/(1+$B$7)^(4+0.4)</f>
        <v>0.607352327664251</v>
      </c>
    </row>
    <row r="55" customFormat="false" ht="15" hidden="false" customHeight="false" outlineLevel="0" collapsed="false">
      <c r="A55" s="4" t="s">
        <v>72</v>
      </c>
      <c r="C55" s="8" t="n">
        <f aca="false">C53*C54</f>
        <v>-0</v>
      </c>
      <c r="D55" s="8" t="n">
        <f aca="false">D53*D54</f>
        <v>23.6304412355127</v>
      </c>
      <c r="E55" s="8" t="n">
        <f aca="false">E53*E54</f>
        <v>82.2857232387722</v>
      </c>
      <c r="F55" s="8" t="n">
        <f aca="false">F53*F54</f>
        <v>147.669616885411</v>
      </c>
      <c r="G55" s="8" t="n">
        <f aca="false">G53*G54</f>
        <v>220.365562297249</v>
      </c>
    </row>
    <row r="57" customFormat="false" ht="15" hidden="false" customHeight="false" outlineLevel="0" collapsed="false">
      <c r="A57" s="4" t="s">
        <v>73</v>
      </c>
      <c r="B57" s="8" t="n">
        <f aca="false">G49*$B$44</f>
        <v>16515.0144881246</v>
      </c>
    </row>
    <row r="58" customFormat="false" ht="15" hidden="false" customHeight="false" outlineLevel="0" collapsed="false">
      <c r="A58" s="4" t="s">
        <v>74</v>
      </c>
      <c r="B58" s="8" t="n">
        <f aca="false">G49*$B$44/(1+$B$7)^$B$10</f>
        <v>10030.4324907713</v>
      </c>
    </row>
    <row r="59" customFormat="false" ht="15" hidden="false" customHeight="false" outlineLevel="0" collapsed="false">
      <c r="A59" s="4" t="s">
        <v>75</v>
      </c>
      <c r="B59" s="8" t="n">
        <f aca="false">SUM(D55:G55)</f>
        <v>473.951343656944</v>
      </c>
    </row>
    <row r="60" customFormat="false" ht="15" hidden="false" customHeight="false" outlineLevel="0" collapsed="false">
      <c r="A60" s="4" t="s">
        <v>76</v>
      </c>
      <c r="B60" s="8" t="n">
        <f aca="false">B58+B59</f>
        <v>10504.3838344283</v>
      </c>
    </row>
    <row r="61" customFormat="false" ht="15" hidden="false" customHeight="false" outlineLevel="0" collapsed="false">
      <c r="A61" s="4" t="s">
        <v>77</v>
      </c>
      <c r="B61" s="8" t="n">
        <f aca="false">$B$8</f>
        <v>74</v>
      </c>
    </row>
    <row r="62" customFormat="false" ht="15" hidden="false" customHeight="false" outlineLevel="0" collapsed="false">
      <c r="A62" s="4" t="s">
        <v>78</v>
      </c>
      <c r="B62" s="8" t="n">
        <f aca="false">B60+B61</f>
        <v>10578.3838344283</v>
      </c>
    </row>
    <row r="63" customFormat="false" ht="15" hidden="false" customHeight="false" outlineLevel="0" collapsed="false">
      <c r="A63" s="4" t="s">
        <v>79</v>
      </c>
      <c r="B63" s="25" t="n">
        <f aca="false">$B$9</f>
        <v>180</v>
      </c>
    </row>
    <row r="64" customFormat="false" ht="15" hidden="false" customHeight="false" outlineLevel="0" collapsed="false">
      <c r="A64" s="28" t="s">
        <v>80</v>
      </c>
      <c r="B64" s="29" t="n">
        <f aca="false">B62/B63</f>
        <v>58.768799080157</v>
      </c>
    </row>
    <row r="67" customFormat="false" ht="15" hidden="false" customHeight="false" outlineLevel="0" collapsed="false">
      <c r="A67" s="3" t="s">
        <v>82</v>
      </c>
      <c r="B67" s="3"/>
      <c r="C67" s="3"/>
      <c r="D67" s="3"/>
      <c r="E67" s="3"/>
      <c r="F67" s="3"/>
      <c r="G67" s="3"/>
      <c r="H67" s="3"/>
    </row>
    <row r="68" customFormat="false" ht="15" hidden="false" customHeight="false" outlineLevel="0" collapsed="false">
      <c r="A68" s="4" t="s">
        <v>57</v>
      </c>
      <c r="B68" s="20" t="n">
        <v>0.225</v>
      </c>
    </row>
    <row r="69" customFormat="false" ht="15" hidden="false" customHeight="false" outlineLevel="0" collapsed="false">
      <c r="A69" s="4" t="s">
        <v>58</v>
      </c>
      <c r="B69" s="20" t="n">
        <v>0.26</v>
      </c>
    </row>
    <row r="70" customFormat="false" ht="15" hidden="false" customHeight="false" outlineLevel="0" collapsed="false">
      <c r="A70" s="4" t="s">
        <v>59</v>
      </c>
      <c r="B70" s="21" t="n">
        <v>22</v>
      </c>
    </row>
    <row r="72" customFormat="false" ht="15" hidden="false" customHeight="false" outlineLevel="0" collapsed="false">
      <c r="A72" s="12" t="s">
        <v>60</v>
      </c>
      <c r="C72" s="22" t="s">
        <v>61</v>
      </c>
      <c r="D72" s="22" t="s">
        <v>62</v>
      </c>
      <c r="E72" s="22" t="s">
        <v>63</v>
      </c>
      <c r="F72" s="22" t="s">
        <v>64</v>
      </c>
      <c r="G72" s="22" t="s">
        <v>65</v>
      </c>
    </row>
    <row r="73" customFormat="false" ht="15" hidden="false" customHeight="false" outlineLevel="0" collapsed="false">
      <c r="A73" s="4" t="s">
        <v>21</v>
      </c>
      <c r="C73" s="8" t="n">
        <f aca="false">$B$5</f>
        <v>2115</v>
      </c>
      <c r="D73" s="8" t="n">
        <f aca="false">C73*(1+$B$68)</f>
        <v>2590.875</v>
      </c>
      <c r="E73" s="8" t="n">
        <f aca="false">D73*(1+$B$68)</f>
        <v>3173.821875</v>
      </c>
      <c r="F73" s="8" t="n">
        <f aca="false">E73*(1+$B$68)</f>
        <v>3887.931796875</v>
      </c>
      <c r="G73" s="8" t="n">
        <f aca="false">F73*(1+$B$68)</f>
        <v>4762.71645117188</v>
      </c>
    </row>
    <row r="74" customFormat="false" ht="15" hidden="false" customHeight="false" outlineLevel="0" collapsed="false">
      <c r="A74" s="4" t="s">
        <v>66</v>
      </c>
      <c r="C74" s="23" t="n">
        <f aca="false">$B$6/$B$5</f>
        <v>0.183215130023641</v>
      </c>
      <c r="D74" s="23" t="n">
        <f aca="false">$B$6/$B$5+($B$69-$B$6/$B$5)*1/4</f>
        <v>0.202411347517731</v>
      </c>
      <c r="E74" s="23" t="n">
        <f aca="false">$B$6/$B$5+($B$69-$B$6/$B$5)*2/4</f>
        <v>0.22160756501182</v>
      </c>
      <c r="F74" s="23" t="n">
        <f aca="false">$B$6/$B$5+($B$69-$B$6/$B$5)*3/4</f>
        <v>0.24080378250591</v>
      </c>
      <c r="G74" s="23" t="n">
        <f aca="false">$B$6/$B$5+($B$69-$B$6/$B$5)*4/4</f>
        <v>0.26</v>
      </c>
    </row>
    <row r="75" customFormat="false" ht="15" hidden="false" customHeight="false" outlineLevel="0" collapsed="false">
      <c r="A75" s="4" t="s">
        <v>67</v>
      </c>
      <c r="C75" s="8" t="n">
        <f aca="false">C73*C74</f>
        <v>387.5</v>
      </c>
      <c r="D75" s="8" t="n">
        <f aca="false">D73*D74</f>
        <v>524.4225</v>
      </c>
      <c r="E75" s="8" t="n">
        <f aca="false">E73*E74</f>
        <v>703.3429375</v>
      </c>
      <c r="F75" s="8" t="n">
        <f aca="false">F73*F74</f>
        <v>936.2286828125</v>
      </c>
      <c r="G75" s="8" t="n">
        <f aca="false">G73*G74</f>
        <v>1238.30627730469</v>
      </c>
    </row>
    <row r="76" customFormat="false" ht="15" hidden="false" customHeight="false" outlineLevel="0" collapsed="false">
      <c r="A76" s="4" t="s">
        <v>68</v>
      </c>
      <c r="C76" s="23" t="n">
        <f aca="false">$B$12+($B$13-$B$12)*0/4</f>
        <v>0.17</v>
      </c>
      <c r="D76" s="23" t="n">
        <f aca="false">$B$12+($B$13-$B$12)*1/4</f>
        <v>0.1525</v>
      </c>
      <c r="E76" s="23" t="n">
        <f aca="false">$B$12+($B$13-$B$12)*2/4</f>
        <v>0.135</v>
      </c>
      <c r="F76" s="23" t="n">
        <f aca="false">$B$12+($B$13-$B$12)*3/4</f>
        <v>0.1175</v>
      </c>
      <c r="G76" s="23" t="n">
        <f aca="false">$B$12+($B$13-$B$12)*4/4</f>
        <v>0.1</v>
      </c>
    </row>
    <row r="77" customFormat="false" ht="15" hidden="false" customHeight="false" outlineLevel="0" collapsed="false">
      <c r="A77" s="4" t="s">
        <v>26</v>
      </c>
      <c r="C77" s="8" t="n">
        <f aca="false">C73*C76</f>
        <v>359.55</v>
      </c>
      <c r="D77" s="8" t="n">
        <f aca="false">D73*D76</f>
        <v>395.1084375</v>
      </c>
      <c r="E77" s="8" t="n">
        <f aca="false">E73*E76</f>
        <v>428.465953125</v>
      </c>
      <c r="F77" s="8" t="n">
        <f aca="false">F73*F76</f>
        <v>456.831986132813</v>
      </c>
      <c r="G77" s="8" t="n">
        <f aca="false">G73*G76</f>
        <v>476.271645117188</v>
      </c>
    </row>
    <row r="78" customFormat="false" ht="15" hidden="false" customHeight="false" outlineLevel="0" collapsed="false">
      <c r="A78" s="4" t="s">
        <v>69</v>
      </c>
      <c r="C78" s="8" t="n">
        <f aca="false">C75*$B$11</f>
        <v>58.125</v>
      </c>
      <c r="D78" s="8" t="n">
        <f aca="false">D75*$B$11</f>
        <v>78.663375</v>
      </c>
      <c r="E78" s="8" t="n">
        <f aca="false">E75*$B$11</f>
        <v>105.501440625</v>
      </c>
      <c r="F78" s="8" t="n">
        <f aca="false">F75*$B$11</f>
        <v>140.434302421875</v>
      </c>
      <c r="G78" s="8" t="n">
        <f aca="false">G75*$B$11</f>
        <v>185.745941595703</v>
      </c>
    </row>
    <row r="79" customFormat="false" ht="15" hidden="false" customHeight="false" outlineLevel="0" collapsed="false">
      <c r="A79" s="4" t="s">
        <v>70</v>
      </c>
      <c r="C79" s="8" t="n">
        <f aca="false">C75-C77-C78</f>
        <v>-30.175</v>
      </c>
      <c r="D79" s="8" t="n">
        <f aca="false">D75-D77-D78</f>
        <v>50.6506875</v>
      </c>
      <c r="E79" s="8" t="n">
        <f aca="false">E75-E77-E78</f>
        <v>169.37554375</v>
      </c>
      <c r="F79" s="8" t="n">
        <f aca="false">F75-F77-F78</f>
        <v>338.962394257813</v>
      </c>
      <c r="G79" s="8" t="n">
        <f aca="false">G75-G77-G78</f>
        <v>576.288690591797</v>
      </c>
    </row>
    <row r="80" customFormat="false" ht="15" hidden="false" customHeight="false" outlineLevel="0" collapsed="false">
      <c r="A80" s="4" t="s">
        <v>71</v>
      </c>
      <c r="C80" s="24" t="n">
        <v>0</v>
      </c>
      <c r="D80" s="24" t="n">
        <f aca="false">1/(1+$B$7)^(1+0.4)</f>
        <v>0.853286291000681</v>
      </c>
      <c r="E80" s="24" t="n">
        <f aca="false">1/(1+$B$7)^(2+0.4)</f>
        <v>0.761862759822037</v>
      </c>
      <c r="F80" s="24" t="n">
        <f aca="false">1/(1+$B$7)^(3+0.4)</f>
        <v>0.680234606983961</v>
      </c>
      <c r="G80" s="24" t="n">
        <f aca="false">1/(1+$B$7)^(4+0.4)</f>
        <v>0.607352327664251</v>
      </c>
    </row>
    <row r="81" customFormat="false" ht="15" hidden="false" customHeight="false" outlineLevel="0" collapsed="false">
      <c r="A81" s="4" t="s">
        <v>72</v>
      </c>
      <c r="C81" s="8" t="n">
        <f aca="false">C79*C80</f>
        <v>-0</v>
      </c>
      <c r="D81" s="8" t="n">
        <f aca="false">D79*D80</f>
        <v>43.2195372735096</v>
      </c>
      <c r="E81" s="8" t="n">
        <f aca="false">E79*E80</f>
        <v>129.040919207733</v>
      </c>
      <c r="F81" s="8" t="n">
        <f aca="false">F79*F80</f>
        <v>230.573951040306</v>
      </c>
      <c r="G81" s="8" t="n">
        <f aca="false">G79*G80</f>
        <v>350.010277637511</v>
      </c>
    </row>
    <row r="83" customFormat="false" ht="15" hidden="false" customHeight="false" outlineLevel="0" collapsed="false">
      <c r="A83" s="4" t="s">
        <v>73</v>
      </c>
      <c r="B83" s="8" t="n">
        <f aca="false">G75*$B$70</f>
        <v>27242.7381007031</v>
      </c>
    </row>
    <row r="84" customFormat="false" ht="15" hidden="false" customHeight="false" outlineLevel="0" collapsed="false">
      <c r="A84" s="4" t="s">
        <v>74</v>
      </c>
      <c r="B84" s="8" t="n">
        <f aca="false">G75*$B$70/(1+$B$7)^$B$10</f>
        <v>16545.9403974096</v>
      </c>
    </row>
    <row r="85" customFormat="false" ht="15" hidden="false" customHeight="false" outlineLevel="0" collapsed="false">
      <c r="A85" s="4" t="s">
        <v>75</v>
      </c>
      <c r="B85" s="8" t="n">
        <f aca="false">SUM(D81:G81)</f>
        <v>752.84468515906</v>
      </c>
    </row>
    <row r="86" customFormat="false" ht="15" hidden="false" customHeight="false" outlineLevel="0" collapsed="false">
      <c r="A86" s="4" t="s">
        <v>76</v>
      </c>
      <c r="B86" s="8" t="n">
        <f aca="false">B84+B85</f>
        <v>17298.7850825687</v>
      </c>
    </row>
    <row r="87" customFormat="false" ht="15" hidden="false" customHeight="false" outlineLevel="0" collapsed="false">
      <c r="A87" s="4" t="s">
        <v>77</v>
      </c>
      <c r="B87" s="8" t="n">
        <f aca="false">$B$8</f>
        <v>74</v>
      </c>
    </row>
    <row r="88" customFormat="false" ht="15" hidden="false" customHeight="false" outlineLevel="0" collapsed="false">
      <c r="A88" s="4" t="s">
        <v>78</v>
      </c>
      <c r="B88" s="8" t="n">
        <f aca="false">B86+B87</f>
        <v>17372.7850825687</v>
      </c>
    </row>
    <row r="89" customFormat="false" ht="15" hidden="false" customHeight="false" outlineLevel="0" collapsed="false">
      <c r="A89" s="4" t="s">
        <v>79</v>
      </c>
      <c r="B89" s="25" t="n">
        <f aca="false">$B$9</f>
        <v>180</v>
      </c>
    </row>
    <row r="90" customFormat="false" ht="15" hidden="false" customHeight="false" outlineLevel="0" collapsed="false">
      <c r="A90" s="30" t="s">
        <v>80</v>
      </c>
      <c r="B90" s="31" t="n">
        <f aca="false">B88/B89</f>
        <v>96.5154726809371</v>
      </c>
    </row>
  </sheetData>
  <mergeCells count="5">
    <mergeCell ref="A1:H1"/>
    <mergeCell ref="A4:B4"/>
    <mergeCell ref="A15:H15"/>
    <mergeCell ref="A41:H41"/>
    <mergeCell ref="A67:H6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6" min="2" style="0" width="14"/>
    <col collapsed="false" customWidth="true" hidden="false" outlineLevel="0" max="7" min="7" style="0" width="30"/>
  </cols>
  <sheetData>
    <row r="1" customFormat="false" ht="17.35" hidden="false" customHeight="false" outlineLevel="0" collapsed="false">
      <c r="A1" s="1" t="s">
        <v>83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84</v>
      </c>
    </row>
    <row r="4" customFormat="false" ht="15" hidden="false" customHeight="false" outlineLevel="0" collapsed="false">
      <c r="A4" s="3" t="s">
        <v>85</v>
      </c>
      <c r="B4" s="3"/>
      <c r="C4" s="3"/>
    </row>
    <row r="5" customFormat="false" ht="15" hidden="false" customHeight="false" outlineLevel="0" collapsed="false">
      <c r="A5" s="12" t="s">
        <v>86</v>
      </c>
      <c r="B5" s="12" t="s">
        <v>87</v>
      </c>
      <c r="C5" s="12" t="s">
        <v>88</v>
      </c>
    </row>
    <row r="6" customFormat="false" ht="15" hidden="false" customHeight="false" outlineLevel="0" collapsed="false">
      <c r="A6" s="4" t="s">
        <v>14</v>
      </c>
      <c r="B6" s="6" t="s">
        <v>89</v>
      </c>
      <c r="C6" s="4" t="s">
        <v>90</v>
      </c>
    </row>
    <row r="7" customFormat="false" ht="15" hidden="false" customHeight="false" outlineLevel="0" collapsed="false">
      <c r="A7" s="4" t="s">
        <v>91</v>
      </c>
      <c r="B7" s="6" t="s">
        <v>92</v>
      </c>
      <c r="C7" s="4" t="s">
        <v>93</v>
      </c>
    </row>
    <row r="8" customFormat="false" ht="15" hidden="false" customHeight="false" outlineLevel="0" collapsed="false">
      <c r="A8" s="4" t="s">
        <v>94</v>
      </c>
      <c r="B8" s="6" t="s">
        <v>95</v>
      </c>
      <c r="C8" s="4" t="s">
        <v>96</v>
      </c>
    </row>
    <row r="9" customFormat="false" ht="15" hidden="false" customHeight="false" outlineLevel="0" collapsed="false">
      <c r="A9" s="4" t="s">
        <v>97</v>
      </c>
      <c r="B9" s="6" t="s">
        <v>98</v>
      </c>
      <c r="C9" s="4" t="s">
        <v>99</v>
      </c>
    </row>
    <row r="10" customFormat="false" ht="15" hidden="false" customHeight="false" outlineLevel="0" collapsed="false">
      <c r="A10" s="4" t="s">
        <v>100</v>
      </c>
      <c r="B10" s="6" t="s">
        <v>101</v>
      </c>
      <c r="C10" s="4" t="s">
        <v>102</v>
      </c>
    </row>
    <row r="11" customFormat="false" ht="15" hidden="false" customHeight="false" outlineLevel="0" collapsed="false">
      <c r="A11" s="4" t="s">
        <v>103</v>
      </c>
      <c r="B11" s="6" t="s">
        <v>104</v>
      </c>
      <c r="C11" s="4" t="s">
        <v>105</v>
      </c>
    </row>
    <row r="12" customFormat="false" ht="15" hidden="false" customHeight="false" outlineLevel="0" collapsed="false">
      <c r="A12" s="4" t="s">
        <v>106</v>
      </c>
      <c r="B12" s="6" t="s">
        <v>107</v>
      </c>
      <c r="C12" s="4" t="s">
        <v>108</v>
      </c>
    </row>
    <row r="13" customFormat="false" ht="15" hidden="false" customHeight="false" outlineLevel="0" collapsed="false">
      <c r="A13" s="4" t="s">
        <v>109</v>
      </c>
      <c r="B13" s="6" t="s">
        <v>110</v>
      </c>
      <c r="C13" s="4" t="s">
        <v>111</v>
      </c>
    </row>
    <row r="16" customFormat="false" ht="15" hidden="false" customHeight="false" outlineLevel="0" collapsed="false">
      <c r="A16" s="3" t="s">
        <v>112</v>
      </c>
      <c r="B16" s="3"/>
      <c r="C16" s="3"/>
      <c r="D16" s="3"/>
      <c r="E16" s="3"/>
      <c r="F16" s="3"/>
      <c r="G16" s="3"/>
    </row>
    <row r="17" customFormat="false" ht="15" hidden="false" customHeight="false" outlineLevel="0" collapsed="false">
      <c r="A17" s="12" t="s">
        <v>113</v>
      </c>
      <c r="B17" s="12" t="s">
        <v>114</v>
      </c>
      <c r="C17" s="12" t="s">
        <v>115</v>
      </c>
      <c r="D17" s="12" t="s">
        <v>116</v>
      </c>
      <c r="E17" s="12" t="s">
        <v>117</v>
      </c>
      <c r="F17" s="12" t="s">
        <v>118</v>
      </c>
      <c r="G17" s="12" t="s">
        <v>119</v>
      </c>
    </row>
    <row r="18" customFormat="false" ht="15" hidden="false" customHeight="false" outlineLevel="0" collapsed="false">
      <c r="A18" s="32" t="s">
        <v>120</v>
      </c>
      <c r="B18" s="32" t="s">
        <v>121</v>
      </c>
      <c r="C18" s="33" t="s">
        <v>89</v>
      </c>
      <c r="D18" s="33" t="s">
        <v>122</v>
      </c>
      <c r="E18" s="33" t="s">
        <v>123</v>
      </c>
      <c r="F18" s="33" t="s">
        <v>124</v>
      </c>
      <c r="G18" s="33" t="s">
        <v>125</v>
      </c>
    </row>
    <row r="19" customFormat="false" ht="15" hidden="false" customHeight="false" outlineLevel="0" collapsed="false">
      <c r="A19" s="4" t="s">
        <v>126</v>
      </c>
      <c r="B19" s="4" t="s">
        <v>127</v>
      </c>
      <c r="C19" s="6" t="s">
        <v>128</v>
      </c>
      <c r="D19" s="6" t="s">
        <v>129</v>
      </c>
      <c r="E19" s="6" t="s">
        <v>130</v>
      </c>
      <c r="F19" s="6" t="s">
        <v>131</v>
      </c>
      <c r="G19" s="6" t="s">
        <v>132</v>
      </c>
    </row>
    <row r="20" customFormat="false" ht="15" hidden="false" customHeight="false" outlineLevel="0" collapsed="false">
      <c r="A20" s="4" t="s">
        <v>133</v>
      </c>
      <c r="B20" s="4" t="s">
        <v>134</v>
      </c>
      <c r="C20" s="6" t="s">
        <v>135</v>
      </c>
      <c r="D20" s="6" t="s">
        <v>136</v>
      </c>
      <c r="E20" s="6" t="s">
        <v>137</v>
      </c>
      <c r="F20" s="6" t="s">
        <v>138</v>
      </c>
      <c r="G20" s="6" t="s">
        <v>139</v>
      </c>
    </row>
    <row r="21" customFormat="false" ht="15" hidden="false" customHeight="false" outlineLevel="0" collapsed="false">
      <c r="A21" s="4" t="s">
        <v>140</v>
      </c>
      <c r="B21" s="4" t="s">
        <v>140</v>
      </c>
      <c r="C21" s="6" t="s">
        <v>141</v>
      </c>
      <c r="D21" s="6" t="s">
        <v>142</v>
      </c>
      <c r="E21" s="6" t="s">
        <v>143</v>
      </c>
      <c r="F21" s="6" t="s">
        <v>144</v>
      </c>
      <c r="G21" s="6" t="s">
        <v>145</v>
      </c>
    </row>
    <row r="22" customFormat="false" ht="15" hidden="false" customHeight="false" outlineLevel="0" collapsed="false">
      <c r="A22" s="4" t="s">
        <v>146</v>
      </c>
      <c r="B22" s="4" t="s">
        <v>147</v>
      </c>
      <c r="C22" s="6" t="s">
        <v>135</v>
      </c>
      <c r="D22" s="6" t="s">
        <v>148</v>
      </c>
      <c r="E22" s="6" t="s">
        <v>149</v>
      </c>
      <c r="F22" s="6" t="s">
        <v>150</v>
      </c>
      <c r="G22" s="6" t="s">
        <v>151</v>
      </c>
    </row>
    <row r="23" customFormat="false" ht="15" hidden="false" customHeight="false" outlineLevel="0" collapsed="false">
      <c r="A23" s="4" t="s">
        <v>152</v>
      </c>
      <c r="B23" s="4" t="s">
        <v>153</v>
      </c>
      <c r="C23" s="6" t="s">
        <v>154</v>
      </c>
      <c r="D23" s="6" t="s">
        <v>155</v>
      </c>
      <c r="E23" s="6" t="s">
        <v>156</v>
      </c>
      <c r="F23" s="6" t="s">
        <v>157</v>
      </c>
      <c r="G23" s="6" t="s">
        <v>158</v>
      </c>
    </row>
    <row r="24" customFormat="false" ht="15" hidden="false" customHeight="false" outlineLevel="0" collapsed="false">
      <c r="A24" s="4" t="s">
        <v>159</v>
      </c>
      <c r="B24" s="4" t="s">
        <v>160</v>
      </c>
      <c r="C24" s="6" t="s">
        <v>129</v>
      </c>
      <c r="D24" s="6" t="s">
        <v>129</v>
      </c>
      <c r="E24" s="6" t="s">
        <v>129</v>
      </c>
      <c r="F24" s="6" t="s">
        <v>161</v>
      </c>
      <c r="G24" s="6" t="s">
        <v>162</v>
      </c>
    </row>
    <row r="25" customFormat="false" ht="15" hidden="false" customHeight="false" outlineLevel="0" collapsed="false">
      <c r="A25" s="2" t="s">
        <v>163</v>
      </c>
    </row>
    <row r="27" customFormat="false" ht="15" hidden="false" customHeight="false" outlineLevel="0" collapsed="false">
      <c r="A27" s="3" t="s">
        <v>164</v>
      </c>
      <c r="B27" s="3"/>
      <c r="C27" s="3"/>
      <c r="D27" s="3"/>
      <c r="E27" s="3"/>
      <c r="F27" s="3"/>
      <c r="G27" s="3"/>
    </row>
    <row r="28" customFormat="false" ht="15" hidden="false" customHeight="false" outlineLevel="0" collapsed="false">
      <c r="A28" s="34" t="s">
        <v>165</v>
      </c>
    </row>
    <row r="29" customFormat="false" ht="15" hidden="false" customHeight="false" outlineLevel="0" collapsed="false">
      <c r="A29" s="34" t="s">
        <v>166</v>
      </c>
    </row>
    <row r="31" customFormat="false" ht="15" hidden="false" customHeight="false" outlineLevel="0" collapsed="false">
      <c r="A31" s="12" t="s">
        <v>167</v>
      </c>
      <c r="B31" s="12" t="s">
        <v>168</v>
      </c>
      <c r="C31" s="35" t="s">
        <v>169</v>
      </c>
      <c r="D31" s="35"/>
      <c r="E31" s="35"/>
      <c r="F31" s="35"/>
      <c r="G31" s="35"/>
    </row>
    <row r="32" customFormat="false" ht="15" hidden="false" customHeight="false" outlineLevel="0" collapsed="false">
      <c r="A32" s="4" t="s">
        <v>170</v>
      </c>
      <c r="B32" s="36" t="n">
        <v>10</v>
      </c>
      <c r="C32" s="37" t="s">
        <v>171</v>
      </c>
      <c r="D32" s="37"/>
      <c r="E32" s="37"/>
      <c r="F32" s="37"/>
      <c r="G32" s="37"/>
    </row>
    <row r="33" customFormat="false" ht="15" hidden="false" customHeight="false" outlineLevel="0" collapsed="false">
      <c r="A33" s="4" t="s">
        <v>172</v>
      </c>
      <c r="B33" s="36" t="n">
        <v>5</v>
      </c>
      <c r="C33" s="37" t="s">
        <v>173</v>
      </c>
      <c r="D33" s="37"/>
      <c r="E33" s="37"/>
      <c r="F33" s="37"/>
      <c r="G33" s="37"/>
    </row>
    <row r="34" customFormat="false" ht="15" hidden="false" customHeight="false" outlineLevel="0" collapsed="false">
      <c r="A34" s="4" t="s">
        <v>174</v>
      </c>
      <c r="B34" s="36" t="n">
        <v>5</v>
      </c>
      <c r="C34" s="37" t="s">
        <v>175</v>
      </c>
      <c r="D34" s="37"/>
      <c r="E34" s="37"/>
      <c r="F34" s="37"/>
      <c r="G34" s="37"/>
    </row>
    <row r="35" customFormat="false" ht="15" hidden="false" customHeight="false" outlineLevel="0" collapsed="false">
      <c r="A35" s="4" t="s">
        <v>176</v>
      </c>
      <c r="B35" s="36" t="n">
        <v>5</v>
      </c>
      <c r="C35" s="37" t="s">
        <v>177</v>
      </c>
      <c r="D35" s="37"/>
      <c r="E35" s="37"/>
      <c r="F35" s="37"/>
      <c r="G35" s="37"/>
    </row>
    <row r="36" customFormat="false" ht="15" hidden="false" customHeight="false" outlineLevel="0" collapsed="false">
      <c r="A36" s="4" t="s">
        <v>178</v>
      </c>
      <c r="B36" s="36" t="n">
        <v>5</v>
      </c>
      <c r="C36" s="37" t="s">
        <v>179</v>
      </c>
      <c r="D36" s="37"/>
      <c r="E36" s="37"/>
      <c r="F36" s="37"/>
      <c r="G36" s="37"/>
    </row>
    <row r="37" customFormat="false" ht="15" hidden="false" customHeight="false" outlineLevel="0" collapsed="false">
      <c r="A37" s="12" t="s">
        <v>180</v>
      </c>
      <c r="B37" s="38" t="n">
        <f aca="false">SUM(B32:B36)</f>
        <v>30</v>
      </c>
      <c r="C37" s="39" t="str">
        <f aca="false">IF(B37&gt;=40,"Strong — feeds Bull Case",IF(B37&gt;=25,"Neutral — not a differentiator","Risk — feeds Bear Case"))</f>
        <v>Neutral — not a differentiator</v>
      </c>
      <c r="D37" s="39"/>
      <c r="E37" s="39"/>
      <c r="F37" s="39"/>
      <c r="G37" s="39"/>
    </row>
  </sheetData>
  <mergeCells count="11">
    <mergeCell ref="A1:G1"/>
    <mergeCell ref="A4:C4"/>
    <mergeCell ref="A16:G16"/>
    <mergeCell ref="A27:G27"/>
    <mergeCell ref="C31:G31"/>
    <mergeCell ref="C32:G32"/>
    <mergeCell ref="C33:G33"/>
    <mergeCell ref="C34:G34"/>
    <mergeCell ref="C35:G35"/>
    <mergeCell ref="C36:G36"/>
    <mergeCell ref="C37:G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0"/>
    <col collapsed="false" customWidth="true" hidden="false" outlineLevel="0" max="3" min="3" style="0" width="12"/>
    <col collapsed="false" customWidth="true" hidden="false" outlineLevel="0" max="6" min="4" style="0" width="16"/>
    <col collapsed="false" customWidth="true" hidden="false" outlineLevel="0" max="7" min="7" style="0" width="40"/>
  </cols>
  <sheetData>
    <row r="1" customFormat="false" ht="17.35" hidden="false" customHeight="false" outlineLevel="0" collapsed="false">
      <c r="A1" s="1" t="s">
        <v>181</v>
      </c>
      <c r="B1" s="1"/>
      <c r="C1" s="1"/>
      <c r="D1" s="1"/>
      <c r="E1" s="1"/>
      <c r="F1" s="1"/>
      <c r="G1" s="1"/>
    </row>
    <row r="3" customFormat="false" ht="15" hidden="false" customHeight="false" outlineLevel="0" collapsed="false">
      <c r="A3" s="3" t="s">
        <v>182</v>
      </c>
      <c r="B3" s="3"/>
    </row>
    <row r="4" customFormat="false" ht="15" hidden="false" customHeight="false" outlineLevel="0" collapsed="false">
      <c r="A4" s="4" t="s">
        <v>183</v>
      </c>
      <c r="B4" s="5" t="n">
        <v>51.29</v>
      </c>
    </row>
    <row r="5" customFormat="false" ht="15" hidden="false" customHeight="false" outlineLevel="0" collapsed="false">
      <c r="A5" s="4" t="s">
        <v>184</v>
      </c>
      <c r="B5" s="6" t="s">
        <v>185</v>
      </c>
    </row>
    <row r="6" customFormat="false" ht="15" hidden="false" customHeight="false" outlineLevel="0" collapsed="false">
      <c r="A6" s="4" t="s">
        <v>186</v>
      </c>
      <c r="B6" s="40" t="n">
        <f aca="false">BROS_Model!B64</f>
        <v>58.768799080157</v>
      </c>
    </row>
    <row r="7" customFormat="false" ht="15" hidden="false" customHeight="false" outlineLevel="0" collapsed="false">
      <c r="A7" s="4" t="s">
        <v>187</v>
      </c>
      <c r="B7" s="40" t="n">
        <f aca="false">BROS_Model!B38</f>
        <v>25.9138473477758</v>
      </c>
    </row>
    <row r="8" customFormat="false" ht="15" hidden="false" customHeight="false" outlineLevel="0" collapsed="false">
      <c r="A8" s="4" t="s">
        <v>188</v>
      </c>
      <c r="B8" s="6" t="s">
        <v>189</v>
      </c>
    </row>
    <row r="10" customFormat="false" ht="15" hidden="false" customHeight="false" outlineLevel="0" collapsed="false">
      <c r="A10" s="3" t="s">
        <v>190</v>
      </c>
      <c r="B10" s="3"/>
      <c r="C10" s="3"/>
      <c r="D10" s="3"/>
      <c r="E10" s="3"/>
      <c r="F10" s="3"/>
      <c r="G10" s="3"/>
    </row>
    <row r="11" customFormat="false" ht="15" hidden="false" customHeight="false" outlineLevel="0" collapsed="false">
      <c r="A11" s="12" t="s">
        <v>191</v>
      </c>
      <c r="B11" s="12" t="s">
        <v>192</v>
      </c>
      <c r="C11" s="12" t="s">
        <v>193</v>
      </c>
      <c r="D11" s="12" t="s">
        <v>194</v>
      </c>
      <c r="E11" s="12" t="s">
        <v>195</v>
      </c>
      <c r="F11" s="12" t="s">
        <v>196</v>
      </c>
      <c r="G11" s="12" t="s">
        <v>197</v>
      </c>
    </row>
    <row r="12" customFormat="false" ht="15" hidden="false" customHeight="false" outlineLevel="0" collapsed="false">
      <c r="A12" s="4" t="s">
        <v>198</v>
      </c>
      <c r="B12" s="6" t="s">
        <v>199</v>
      </c>
      <c r="C12" s="6" t="s">
        <v>200</v>
      </c>
      <c r="D12" s="6" t="s">
        <v>201</v>
      </c>
      <c r="E12" s="4" t="s">
        <v>202</v>
      </c>
      <c r="F12" s="4" t="s">
        <v>203</v>
      </c>
      <c r="G12" s="4" t="s">
        <v>204</v>
      </c>
    </row>
    <row r="13" customFormat="false" ht="15" hidden="false" customHeight="false" outlineLevel="0" collapsed="false">
      <c r="A13" s="4" t="s">
        <v>205</v>
      </c>
      <c r="B13" s="6" t="s">
        <v>206</v>
      </c>
      <c r="C13" s="6" t="s">
        <v>200</v>
      </c>
      <c r="D13" s="6" t="s">
        <v>207</v>
      </c>
      <c r="E13" s="4" t="s">
        <v>208</v>
      </c>
      <c r="F13" s="4" t="s">
        <v>209</v>
      </c>
      <c r="G13" s="4" t="s">
        <v>210</v>
      </c>
    </row>
    <row r="14" customFormat="false" ht="15" hidden="false" customHeight="false" outlineLevel="0" collapsed="false">
      <c r="A14" s="4" t="s">
        <v>211</v>
      </c>
      <c r="B14" s="6" t="s">
        <v>212</v>
      </c>
      <c r="C14" s="6" t="s">
        <v>213</v>
      </c>
      <c r="D14" s="6" t="s">
        <v>214</v>
      </c>
      <c r="E14" s="4" t="s">
        <v>215</v>
      </c>
      <c r="F14" s="4" t="s">
        <v>216</v>
      </c>
      <c r="G14" s="4" t="s">
        <v>217</v>
      </c>
    </row>
    <row r="16" customFormat="false" ht="15" hidden="false" customHeight="false" outlineLevel="0" collapsed="false">
      <c r="A16" s="2" t="s">
        <v>218</v>
      </c>
    </row>
  </sheetData>
  <mergeCells count="3">
    <mergeCell ref="A1:G1"/>
    <mergeCell ref="A3:B3"/>
    <mergeCell ref="A10:G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2026-08-10T23:11:41Z</dcterms:created>
  <dc:creator>openpyxl</dc:creator>
  <dc:description/>
  <dc:language>en-US</dc:language>
  <cp:lastModifiedBy/>
  <dcterms:modified xsi:type="dcterms:W3CDTF">2026-08-10T23:11:41Z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