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ROS_Model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Options_Strategy" sheetId="4" state="visible" r:id="rId4"/>
    <sheet xmlns:r="http://schemas.openxmlformats.org/officeDocument/2006/relationships" name="Senti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;(#,##0);&quot;-&quot;"/>
    <numFmt numFmtId="167" formatCode="0.0"/>
    <numFmt numFmtId="168" formatCode="0.0&quot;x&quot;"/>
    <numFmt numFmtId="169" formatCode="0.000"/>
    <numFmt numFmtId="170" formatCode="$#,##0.00;($#,##0.0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70" fontId="5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164" fontId="7" fillId="0" borderId="1" pivotButton="0" quotePrefix="0" xfId="0"/>
    <xf numFmtId="164" fontId="5" fillId="0" borderId="1" pivotButton="0" quotePrefix="0" xfId="0"/>
    <xf numFmtId="168" fontId="5" fillId="0" borderId="1" pivotButton="0" quotePrefix="0" xfId="0"/>
    <xf numFmtId="165" fontId="5" fillId="0" borderId="1" pivotButton="0" quotePrefix="0" xfId="0"/>
    <xf numFmtId="0" fontId="6" fillId="4" borderId="1" pivotButton="0" quotePrefix="0" xfId="0"/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0" borderId="1" pivotButton="0" quotePrefix="0" xfId="0"/>
    <xf numFmtId="170" fontId="8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7" fontId="5" fillId="0" borderId="1" pivotButton="0" quotePrefix="0" xfId="0"/>
    <xf numFmtId="165" fontId="5" fillId="3" borderId="1" pivotButton="0" quotePrefix="0" xfId="0"/>
    <xf numFmtId="168" fontId="5" fillId="3" borderId="1" pivotButton="0" quotePrefix="0" xfId="0"/>
    <xf numFmtId="0" fontId="6" fillId="4" borderId="1" applyAlignment="1" pivotButton="0" quotePrefix="0" xfId="0">
      <alignment horizontal="center"/>
    </xf>
    <xf numFmtId="165" fontId="7" fillId="0" borderId="1" pivotButton="0" quotePrefix="0" xfId="0"/>
    <xf numFmtId="169" fontId="7" fillId="0" borderId="1" pivotButton="0" quotePrefix="0" xfId="0"/>
    <xf numFmtId="166" fontId="7" fillId="0" borderId="1" pivotButton="0" quotePrefix="0" xfId="0"/>
    <xf numFmtId="0" fontId="6" fillId="5" borderId="1" pivotButton="0" quotePrefix="0" xfId="0"/>
    <xf numFmtId="170" fontId="6" fillId="5" borderId="1" pivotButton="0" quotePrefix="0" xfId="0"/>
    <xf numFmtId="0" fontId="6" fillId="6" borderId="1" pivotButton="0" quotePrefix="0" xfId="0"/>
    <xf numFmtId="170" fontId="6" fillId="6" borderId="1" pivotButton="0" quotePrefix="0" xfId="0"/>
    <xf numFmtId="0" fontId="6" fillId="7" borderId="1" pivotButton="0" quotePrefix="0" xfId="0"/>
    <xf numFmtId="170" fontId="6" fillId="7" borderId="1" pivotButton="0" quotePrefix="0" xfId="0"/>
    <xf numFmtId="0" fontId="4" fillId="6" borderId="1" pivotButton="0" quotePrefix="0" xfId="0"/>
    <xf numFmtId="0" fontId="5" fillId="6" borderId="1" pivotButton="0" quotePrefix="0" xfId="0"/>
    <xf numFmtId="0" fontId="4" fillId="0" borderId="0" pivotButton="0" quotePrefix="0" xfId="0"/>
    <xf numFmtId="166" fontId="5" fillId="3" borderId="1" pivotButton="0" quotePrefix="0" xfId="0"/>
    <xf numFmtId="166" fontId="6" fillId="4" borderId="1" pivotButton="0" quotePrefix="0" xfId="0"/>
    <xf numFmtId="170" fontId="9" fillId="0" borderId="1" pivotButton="0" quotePrefix="0" xfId="0"/>
    <xf numFmtId="170" fontId="6" fillId="0" borderId="1" pivotButton="0" quotePrefix="0" xfId="0"/>
    <xf numFmtId="17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Model</author>
  </authors>
  <commentList>
    <comment ref="B5" authorId="0" shapeId="0">
      <text>
        <t>Yahoo Finance close 9/25/26 (last full session); new 52-week low; Sep 28 intraday ~$38.07. Aug 10 memo: $51.29</t>
      </text>
    </comment>
    <comment ref="B6" authorId="0" shapeId="0">
      <text>
        <t>Yahoo Finance daily bars to Sep 25, 2026 (intraday; low Sep 23)</t>
      </text>
    </comment>
    <comment ref="B7" authorId="0" shapeId="0">
      <text>
        <t>Q2'26 release adj. fully exchanged wtd. diluted 178.1M; 180M used</t>
      </text>
    </comment>
    <comment ref="B9" authorId="0" shapeId="0">
      <text>
        <t>Q2'26 10-Q: $268.6M cash − $194.6M LT debt</t>
      </text>
    </comment>
    <comment ref="B11" authorId="0" shapeId="0">
      <text>
        <t>FY26 adj. EBITDA guide $385–390M</t>
      </text>
    </comment>
    <comment ref="B12" authorId="0" shapeId="0">
      <text>
        <t>stockanalysis.com fetched Sep 28, 2026: 16.41M shares (prior month 14.27M), 4.17 days to cover</t>
      </text>
    </comment>
    <comment ref="B14" authorId="0" shapeId="0">
      <text>
        <t>+32.5% YoY vs $415.8M</t>
      </text>
    </comment>
    <comment ref="B16" authorId="0" shapeId="0">
      <text>
        <t>Co-op SSS +8.3%; system transactions +1.7%, ticket +4.1%</t>
      </text>
    </comment>
    <comment ref="B17" authorId="0" shapeId="0">
      <text>
        <t>Down from +3.7% PY — the traffic deceleration signal</t>
      </text>
    </comment>
    <comment ref="B18" authorId="0" shapeId="0">
      <text>
        <t>vs 31.1% PY</t>
      </text>
    </comment>
    <comment ref="B19" authorId="0" shapeId="0">
      <text>
        <t>20.6% margin vs 21.4% PY</t>
      </text>
    </comment>
    <comment ref="B20" authorId="0" shapeId="0">
      <text>
        <t>vs $0.26 PY</t>
      </text>
    </comment>
    <comment ref="B21" authorId="0" shapeId="0">
      <text>
        <t>888 co-op / 337 franchised; 48 opened in Q2, 89 in H1</t>
      </text>
    </comment>
    <comment ref="B24" authorId="0" shapeId="0">
      <text>
        <t>Excludes Salad and Go</t>
      </text>
    </comment>
    <comment ref="B37" authorId="0" shapeId="0">
      <text>
        <t>Own calc, Yahoo closes to Sep 25, 2026</t>
      </text>
    </comment>
    <comment ref="B38" authorId="0" shapeId="0">
      <text>
        <t>Own calc</t>
      </text>
    </comment>
    <comment ref="B39" authorId="0" shapeId="0">
      <text>
        <t>Own calc — price below all three SMAs</t>
      </text>
    </comment>
    <comment ref="B40" authorId="0" shapeId="0">
      <text>
        <t>Own calc (Wilder) — deeply oversold</t>
      </text>
    </comment>
    <comment ref="B41" authorId="0" shapeId="0">
      <text>
        <t>Sep 23 low; mid-2024 lows; Aug–Sep 2024 base (weekly bars)</t>
      </text>
    </comment>
    <comment ref="B42" authorId="0" shapeId="0">
      <text>
        <t>Sep 17–18 closes; 20-day SMA; old 52-wk low now overhead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5" authorId="0" shapeId="0">
      <text>
        <t>Source: Q2 2026 8-K (Aug 5, 2026) — FY26 guidance raised to $2.10–$2.13B; midpoint $2,115M</t>
      </text>
    </comment>
    <comment ref="B6" authorId="0" shapeId="0">
      <text>
        <t>Source: Q2 2026 8-K — FY26 adj. EBITDA guidance raised to $385–$390M; midpoint $387.5M</t>
      </text>
    </comment>
    <comment ref="B7" authorId="0" shapeId="0">
      <text>
        <t>Methodology rule: one WACC across bull/base/bear. 12% per restaurant/pre-FCF default</t>
      </text>
    </comment>
    <comment ref="B8" authorId="0" shapeId="0">
      <text>
        <t>Q2 2026 10-Q balance sheet: $268.6M cash − $194.6M LT debt ≈ $74M net cash (6/30/26)</t>
      </text>
    </comment>
    <comment ref="B9" authorId="0" shapeId="0">
      <text>
        <t>Q2 2026 release: adjusted fully exchanged wtd. diluted 178.1M; 180M used for creep</t>
      </text>
    </comment>
    <comment ref="B10" authorId="0" shapeId="0">
      <text>
        <t>Aug 2026 → Dec 2030 ≈ 4.4 years</t>
      </text>
    </comment>
    <comment ref="B11" authorId="0" shapeId="0">
      <text>
        <t>Simplifying assumption: cash taxes ≈ 15% of EBITDA</t>
      </text>
    </comment>
    <comment ref="B12" authorId="0" shapeId="0">
      <text>
        <t>FY26 capex guide $350–370M ÷ $2,115M rev ≈ 17%</t>
      </text>
    </comment>
    <comment ref="B13" authorId="0" shapeId="0">
      <text>
        <t>Assumes growth capex moderates as fleet matures</t>
      </text>
    </comment>
    <comment ref="B16" authorId="0" shapeId="0">
      <text>
        <t>Scenario lever</t>
      </text>
    </comment>
    <comment ref="B17" authorId="0" shapeId="0">
      <text>
        <t>Scenario lever — terminal multiple calibrated to this margin</t>
      </text>
    </comment>
    <comment ref="B18" authorId="0" shapeId="0">
      <text>
        <t>Calibrated to terminal margin: 18%→12x, 22%→18x, 26%→22x</t>
      </text>
    </comment>
    <comment ref="C28" authorId="0" shapeId="0">
      <text>
        <t>FY2026 partially elapsed — excluded from PV</t>
      </text>
    </comment>
    <comment ref="D28" authorId="0" shapeId="0">
      <text>
        <t>Mid-Aug 2026 valuation date: FY27 ≈ 1.4 yrs out, … FY30 ≈ 4.4 yrs</t>
      </text>
    </comment>
    <comment ref="E28" authorId="0" shapeId="0">
      <text>
        <t>Mid-Aug 2026 valuation date: FY27 ≈ 1.4 yrs out, … FY30 ≈ 4.4 yrs</t>
      </text>
    </comment>
    <comment ref="F28" authorId="0" shapeId="0">
      <text>
        <t>Mid-Aug 2026 valuation date: FY27 ≈ 1.4 yrs out, … FY30 ≈ 4.4 yrs</t>
      </text>
    </comment>
    <comment ref="G28" authorId="0" shapeId="0">
      <text>
        <t>Mid-Aug 2026 valuation date: FY27 ≈ 1.4 yrs out, … FY30 ≈ 4.4 yrs</t>
      </text>
    </comment>
    <comment ref="B42" authorId="0" shapeId="0">
      <text>
        <t>Scenario lever</t>
      </text>
    </comment>
    <comment ref="B43" authorId="0" shapeId="0">
      <text>
        <t>Scenario lever — terminal multiple calibrated to this margin</t>
      </text>
    </comment>
    <comment ref="B44" authorId="0" shapeId="0">
      <text>
        <t>Calibrated to terminal margin: 18%→12x, 22%→18x, 26%→22x</t>
      </text>
    </comment>
    <comment ref="C54" authorId="0" shapeId="0">
      <text>
        <t>FY2026 partially elapsed — excluded from PV</t>
      </text>
    </comment>
    <comment ref="D54" authorId="0" shapeId="0">
      <text>
        <t>Mid-Aug 2026 valuation date: FY27 ≈ 1.4 yrs out, … FY30 ≈ 4.4 yrs</t>
      </text>
    </comment>
    <comment ref="E54" authorId="0" shapeId="0">
      <text>
        <t>Mid-Aug 2026 valuation date: FY27 ≈ 1.4 yrs out, … FY30 ≈ 4.4 yrs</t>
      </text>
    </comment>
    <comment ref="F54" authorId="0" shapeId="0">
      <text>
        <t>Mid-Aug 2026 valuation date: FY27 ≈ 1.4 yrs out, … FY30 ≈ 4.4 yrs</t>
      </text>
    </comment>
    <comment ref="G54" authorId="0" shapeId="0">
      <text>
        <t>Mid-Aug 2026 valuation date: FY27 ≈ 1.4 yrs out, … FY30 ≈ 4.4 yrs</t>
      </text>
    </comment>
    <comment ref="B68" authorId="0" shapeId="0">
      <text>
        <t>Scenario lever</t>
      </text>
    </comment>
    <comment ref="B69" authorId="0" shapeId="0">
      <text>
        <t>Scenario lever — terminal multiple calibrated to this margin</t>
      </text>
    </comment>
    <comment ref="B70" authorId="0" shapeId="0">
      <text>
        <t>Calibrated to terminal margin: 18%→12x, 22%→18x, 26%→22x</t>
      </text>
    </comment>
    <comment ref="C80" authorId="0" shapeId="0">
      <text>
        <t>FY2026 partially elapsed — excluded from PV</t>
      </text>
    </comment>
    <comment ref="D80" authorId="0" shapeId="0">
      <text>
        <t>Mid-Aug 2026 valuation date: FY27 ≈ 1.4 yrs out, … FY30 ≈ 4.4 yrs</t>
      </text>
    </comment>
    <comment ref="E80" authorId="0" shapeId="0">
      <text>
        <t>Mid-Aug 2026 valuation date: FY27 ≈ 1.4 yrs out, … FY30 ≈ 4.4 yrs</t>
      </text>
    </comment>
    <comment ref="F80" authorId="0" shapeId="0">
      <text>
        <t>Mid-Aug 2026 valuation date: FY27 ≈ 1.4 yrs out, … FY30 ≈ 4.4 yrs</t>
      </text>
    </comment>
    <comment ref="G80" authorId="0" shapeId="0">
      <text>
        <t>Mid-Aug 2026 valuation date: FY27 ≈ 1.4 yrs out, … FY30 ≈ 4.4 yrs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B32" authorId="0" shapeId="0">
      <text>
        <t>Judgment input — 0/5/10</t>
      </text>
    </comment>
    <comment ref="B33" authorId="0" shapeId="0">
      <text>
        <t>Judgment input — 0/5/10</t>
      </text>
    </comment>
    <comment ref="B34" authorId="0" shapeId="0">
      <text>
        <t>Judgment input — 0/5/10</t>
      </text>
    </comment>
    <comment ref="B35" authorId="0" shapeId="0">
      <text>
        <t>Judgment input — 0/5/10</t>
      </text>
    </comment>
    <comment ref="B36" authorId="0" shapeId="0">
      <text>
        <t>Judgment input — 0/5/10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B4" authorId="0" shapeId="0">
      <text>
        <t>Sep 25, 2026 close</t>
      </text>
    </comment>
    <comment ref="B5" authorId="0" shapeId="0">
      <text>
        <t>AlphaQuery 30-day IV mean, fetched Sep 28, 2026; own-calc HV20 33.3%</t>
      </text>
    </comment>
    <comment ref="B8" authorId="0" shapeId="0">
      <text>
        <t>Q3 earnings est. Nov 4, 2026 after close — Nov and Dec expiries span the print</t>
      </text>
    </comment>
    <comment ref="B9" authorId="0" shapeId="0">
      <text>
        <t>Assumption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B6" authorId="0" shapeId="0">
      <text>
        <t>Stocktwits MCP, pulled 2026-09-28T07:31:00-07:00</t>
      </text>
    </comment>
    <comment ref="B7" authorId="0" shapeId="0">
      <text>
        <t>Stocktwits MCP, pulled 2026-09-28T07:31:00-07:00</t>
      </text>
    </comment>
    <comment ref="B8" authorId="0" shapeId="0">
      <text>
        <t>Stocktwits MCP, pulled 2026-09-28T07:31:00-07:00</t>
      </text>
    </comment>
    <comment ref="B9" authorId="0" shapeId="0">
      <text>
        <t>Stocktwits MCP, pulled 2026-09-28T07:31:00-07:00</t>
      </text>
    </comment>
    <comment ref="B10" authorId="0" shapeId="0">
      <text>
        <t>Stocktwits MCP, pulled 2026-09-28T07:31:00-07:00</t>
      </text>
    </comment>
    <comment ref="B13" authorId="0" shapeId="0">
      <text>
        <t>Stocktwits MCP, pulled 2026-09-28T07:31:00-07:00</t>
      </text>
    </comment>
    <comment ref="B14" authorId="0" shapeId="0">
      <text>
        <t>Stocktwits MCP, pulled 2026-09-28T07:31:00-07:00</t>
      </text>
    </comment>
    <comment ref="B15" authorId="0" shapeId="0">
      <text>
        <t>Stocktwits MCP, pulled 2026-09-28T07:31:00-07:00</t>
      </text>
    </comment>
    <comment ref="B16" authorId="0" shapeId="0">
      <text>
        <t>Stocktwits MCP, pulled 2026-09-28T07:31:00-07:00</t>
      </text>
    </comment>
    <comment ref="B17" authorId="0" shapeId="0">
      <text>
        <t>Stocktwits MCP, pulled 2026-09-28T07:31:00-07:00</t>
      </text>
    </comment>
    <comment ref="B18" authorId="0" shapeId="0">
      <text>
        <t>Stocktwits MCP, pulled 2026-09-28T07:31:00-07:00</t>
      </text>
    </comment>
    <comment ref="B19" authorId="0" shapeId="0">
      <text>
        <t>Stocktwits MCP, pulled 2026-09-28T07:31:00-07:00</t>
      </text>
    </comment>
    <comment ref="B20" authorId="0" shapeId="0">
      <text>
        <t>Stocktwits MCP, pulled 2026-09-28T07:31:00-07:00</t>
      </text>
    </comment>
    <comment ref="B21" authorId="0" shapeId="0">
      <text>
        <t>Stocktwits MCP, pulled 2026-09-28T07:31:00-07:00</t>
      </text>
    </comment>
    <comment ref="B22" authorId="0" shapeId="0">
      <text>
        <t>Stocktwits MCP, pulled 2026-09-28T07:31:00-07:00</t>
      </text>
    </comment>
    <comment ref="B23" authorId="0" shapeId="0">
      <text>
        <t>Stocktwits MCP, pulled 2026-09-28T07:31:00-07:00</t>
      </text>
    </comment>
    <comment ref="B24" authorId="0" shapeId="0">
      <text>
        <t>Stocktwits MCP, pulled 2026-09-28T07:31:00-07:00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DUTCH BROS ($BROS) — DASHBOARD — 2026-09-28</t>
        </is>
      </c>
    </row>
    <row r="2">
      <c r="A2" s="2" t="inlineStr">
        <is>
          <t>Quarterly update (Phase 0B) of the 2026-08-10 analysis. Blue = hardcoded inputs, black = formulas, green = cross-sheet links.</t>
        </is>
      </c>
    </row>
    <row r="4">
      <c r="A4" s="3" t="inlineStr">
        <is>
          <t>MARKET DATA</t>
        </is>
      </c>
    </row>
    <row r="5">
      <c r="A5" s="4" t="inlineStr">
        <is>
          <t>Current price (Sep 25, 2026 close)</t>
        </is>
      </c>
      <c r="B5" s="5" t="n">
        <v>37.89</v>
      </c>
    </row>
    <row r="6">
      <c r="A6" s="4" t="inlineStr">
        <is>
          <t>52-week high / low</t>
        </is>
      </c>
      <c r="B6" s="6" t="inlineStr">
        <is>
          <t>$74.02 / $37.72</t>
        </is>
      </c>
    </row>
    <row r="7">
      <c r="A7" s="4" t="inlineStr">
        <is>
          <t>Fully exchanged diluted shares (M)</t>
        </is>
      </c>
      <c r="B7" s="7" t="n">
        <v>180</v>
      </c>
    </row>
    <row r="8">
      <c r="A8" s="4" t="inlineStr">
        <is>
          <t>Market cap ($M)</t>
        </is>
      </c>
      <c r="B8" s="8">
        <f>B5*B7</f>
        <v/>
      </c>
    </row>
    <row r="9">
      <c r="A9" s="4" t="inlineStr">
        <is>
          <t>Net cash ($M)</t>
        </is>
      </c>
      <c r="B9" s="9" t="n">
        <v>74</v>
      </c>
    </row>
    <row r="10">
      <c r="A10" s="4" t="inlineStr">
        <is>
          <t>Enterprise value ($M)</t>
        </is>
      </c>
      <c r="B10" s="8">
        <f>B8-B9</f>
        <v/>
      </c>
    </row>
    <row r="11">
      <c r="A11" s="4" t="inlineStr">
        <is>
          <t>EV / FY2026E EBITDA ($387.5M guide mid)</t>
        </is>
      </c>
      <c r="B11" s="10">
        <f>B10/387.5</f>
        <v/>
      </c>
    </row>
    <row r="12">
      <c r="A12" s="4" t="inlineStr">
        <is>
          <t>Short interest (% of float)</t>
        </is>
      </c>
      <c r="B12" s="11" t="n">
        <v>0.1261</v>
      </c>
    </row>
    <row r="13">
      <c r="A13" s="3" t="inlineStr">
        <is>
          <t>Q2 2026 ACTUALS (8-K, Aug 5 2026)</t>
        </is>
      </c>
    </row>
    <row r="14">
      <c r="A14" s="4" t="inlineStr">
        <is>
          <t>Revenue ($M)</t>
        </is>
      </c>
      <c r="B14" s="9" t="n">
        <v>550.9</v>
      </c>
    </row>
    <row r="15">
      <c r="A15" s="4" t="inlineStr">
        <is>
          <t>Revenue growth YoY</t>
        </is>
      </c>
      <c r="B15" s="11" t="n">
        <v>0.325</v>
      </c>
    </row>
    <row r="16">
      <c r="A16" s="4" t="inlineStr">
        <is>
          <t>Systemwide SSS</t>
        </is>
      </c>
      <c r="B16" s="11" t="n">
        <v>0.058</v>
      </c>
    </row>
    <row r="17">
      <c r="A17" s="4" t="inlineStr">
        <is>
          <t>Systemwide transaction growth</t>
        </is>
      </c>
      <c r="B17" s="11" t="n">
        <v>0.017</v>
      </c>
    </row>
    <row r="18">
      <c r="A18" s="4" t="inlineStr">
        <is>
          <t>Co-op shop contribution margin</t>
        </is>
      </c>
      <c r="B18" s="11" t="n">
        <v>0.306</v>
      </c>
    </row>
    <row r="19">
      <c r="A19" s="4" t="inlineStr">
        <is>
          <t>Adj. EBITDA ($M)</t>
        </is>
      </c>
      <c r="B19" s="9" t="n">
        <v>113.7</v>
      </c>
    </row>
    <row r="20">
      <c r="A20" s="4" t="inlineStr">
        <is>
          <t>Adj. EPS (fully exchanged)</t>
        </is>
      </c>
      <c r="B20" s="5" t="n">
        <v>0.33</v>
      </c>
    </row>
    <row r="21">
      <c r="A21" s="4" t="inlineStr">
        <is>
          <t>Total shops (period end)</t>
        </is>
      </c>
      <c r="B21" s="7" t="n">
        <v>1225</v>
      </c>
    </row>
    <row r="23">
      <c r="A23" s="3" t="inlineStr">
        <is>
          <t>FY2026 GUIDANCE (RAISED AUG 5)</t>
        </is>
      </c>
    </row>
    <row r="24">
      <c r="A24" s="4" t="inlineStr">
        <is>
          <t>Revenue</t>
        </is>
      </c>
      <c r="B24" s="6" t="inlineStr">
        <is>
          <t>$2.10–$2.13B (was $2.05–$2.08B)</t>
        </is>
      </c>
    </row>
    <row r="25">
      <c r="A25" s="4" t="inlineStr">
        <is>
          <t>Systemwide SSS</t>
        </is>
      </c>
      <c r="B25" s="6" t="inlineStr">
        <is>
          <t>5–6%</t>
        </is>
      </c>
    </row>
    <row r="26">
      <c r="A26" s="4" t="inlineStr">
        <is>
          <t>Adj. EBITDA</t>
        </is>
      </c>
      <c r="B26" s="6" t="inlineStr">
        <is>
          <t>$385–$390M (was $370–$380M)</t>
        </is>
      </c>
    </row>
    <row r="27">
      <c r="A27" s="4" t="inlineStr">
        <is>
          <t>Capex</t>
        </is>
      </c>
      <c r="B27" s="6" t="inlineStr">
        <is>
          <t>$350–$370M</t>
        </is>
      </c>
    </row>
    <row r="28">
      <c r="A28" s="4" t="inlineStr">
        <is>
          <t>System shop openings</t>
        </is>
      </c>
      <c r="B28" s="6" t="inlineStr">
        <is>
          <t>≥185</t>
        </is>
      </c>
    </row>
    <row r="30">
      <c r="A30" s="3" t="inlineStr">
        <is>
          <t>DCF INTRINSIC VALUE (EBITDA-TERMINAL, 12% WACC)</t>
        </is>
      </c>
    </row>
    <row r="31">
      <c r="A31" s="12" t="inlineStr">
        <is>
          <t>Scenario</t>
        </is>
      </c>
      <c r="B31" s="13" t="inlineStr">
        <is>
          <t>Bear</t>
        </is>
      </c>
      <c r="C31" s="14" t="inlineStr">
        <is>
          <t>Base</t>
        </is>
      </c>
      <c r="D31" s="15" t="inlineStr">
        <is>
          <t>Bull</t>
        </is>
      </c>
    </row>
    <row r="32">
      <c r="A32" s="16" t="inlineStr">
        <is>
          <t>Intrinsic price / share</t>
        </is>
      </c>
      <c r="B32" s="17">
        <f>BROS_Model!B38</f>
        <v/>
      </c>
      <c r="C32" s="17">
        <f>BROS_Model!B64</f>
        <v/>
      </c>
      <c r="D32" s="17">
        <f>BROS_Model!B90</f>
        <v/>
      </c>
    </row>
    <row r="33">
      <c r="A33" s="4" t="inlineStr">
        <is>
          <t>vs current price</t>
        </is>
      </c>
      <c r="B33" s="18">
        <f>B32/$B$5-1</f>
        <v/>
      </c>
      <c r="C33" s="18">
        <f>C32/$B$5-1</f>
        <v/>
      </c>
      <c r="D33" s="18">
        <f>D32/$B$5-1</f>
        <v/>
      </c>
    </row>
    <row r="36">
      <c r="A36" s="3" t="inlineStr">
        <is>
          <t>TECHNICAL SNAPSHOT (own calc, Yahoo closes to Sep 25, 2026)</t>
        </is>
      </c>
    </row>
    <row r="37">
      <c r="A37" s="4" t="inlineStr">
        <is>
          <t>20-day SMA</t>
        </is>
      </c>
      <c r="B37" s="5" t="n">
        <v>43.23</v>
      </c>
    </row>
    <row r="38">
      <c r="A38" s="4" t="inlineStr">
        <is>
          <t>50-day SMA</t>
        </is>
      </c>
      <c r="B38" s="5" t="n">
        <v>51.88</v>
      </c>
    </row>
    <row r="39">
      <c r="A39" s="4" t="inlineStr">
        <is>
          <t>200-day SMA</t>
        </is>
      </c>
      <c r="B39" s="5" t="n">
        <v>56.13</v>
      </c>
    </row>
    <row r="40">
      <c r="A40" s="4" t="inlineStr">
        <is>
          <t>RSI (14)</t>
        </is>
      </c>
      <c r="B40" s="19" t="n">
        <v>20.8</v>
      </c>
    </row>
    <row r="41">
      <c r="A41" s="4" t="inlineStr">
        <is>
          <t>Support</t>
        </is>
      </c>
      <c r="B41" s="6" t="inlineStr">
        <is>
          <t>$37.72, then $34–35, then $30–31</t>
        </is>
      </c>
    </row>
    <row r="42">
      <c r="A42" s="4" t="inlineStr">
        <is>
          <t>Resistance</t>
        </is>
      </c>
      <c r="B42" s="6" t="inlineStr">
        <is>
          <t>$40–41, then $43.23 (20d), $44.58</t>
        </is>
      </c>
    </row>
  </sheetData>
  <mergeCells count="6">
    <mergeCell ref="A4:B4"/>
    <mergeCell ref="A1:D1"/>
    <mergeCell ref="A30:D30"/>
    <mergeCell ref="A13:B13"/>
    <mergeCell ref="A36:B36"/>
    <mergeCell ref="A23:B2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DUTCH BROS ($BROS) — DCF MODEL (EBITDA-TERMINAL METHOD) — 2026-09-28</t>
        </is>
      </c>
    </row>
    <row r="2">
      <c r="A2" s="2" t="inlineStr">
        <is>
          <t>Single 12% WACC across all scenarios. Terminal EV/EBITDA calibrated to terminal EBITDA margin. Restaurant methodology. DCF inputs and Aug 2026 valuation date carried unchanged from the 2026-08-10 model (no new quarter or guidance).</t>
        </is>
      </c>
    </row>
    <row r="4">
      <c r="A4" s="3" t="inlineStr">
        <is>
          <t>GLOBAL INPUTS (blue = hardcoded)</t>
        </is>
      </c>
    </row>
    <row r="5">
      <c r="A5" s="4" t="inlineStr">
        <is>
          <t>FY2026 Revenue — guidance midpoint ($M)</t>
        </is>
      </c>
      <c r="B5" s="9" t="n">
        <v>2115</v>
      </c>
    </row>
    <row r="6">
      <c r="A6" s="4" t="inlineStr">
        <is>
          <t>FY2026 Adj. EBITDA — guidance midpoint ($M)</t>
        </is>
      </c>
      <c r="B6" s="9" t="n">
        <v>387.5</v>
      </c>
    </row>
    <row r="7">
      <c r="A7" s="4" t="inlineStr">
        <is>
          <t>WACC (single rate, all scenarios)</t>
        </is>
      </c>
      <c r="B7" s="11" t="n">
        <v>0.12</v>
      </c>
    </row>
    <row r="8">
      <c r="A8" s="4" t="inlineStr">
        <is>
          <t>Net cash ($M)</t>
        </is>
      </c>
      <c r="B8" s="9" t="n">
        <v>74</v>
      </c>
    </row>
    <row r="9">
      <c r="A9" s="4" t="inlineStr">
        <is>
          <t>Fully exchanged diluted shares (M)</t>
        </is>
      </c>
      <c r="B9" s="7" t="n">
        <v>180</v>
      </c>
    </row>
    <row r="10">
      <c r="A10" s="4" t="inlineStr">
        <is>
          <t>Years to terminal (FY2030 year-end)</t>
        </is>
      </c>
      <c r="B10" s="19" t="n">
        <v>4.4</v>
      </c>
    </row>
    <row r="11">
      <c r="A11" s="4" t="inlineStr">
        <is>
          <t>Cash taxes (% of EBITDA, simplification)</t>
        </is>
      </c>
      <c r="B11" s="11" t="n">
        <v>0.15</v>
      </c>
    </row>
    <row r="12">
      <c r="A12" s="4" t="inlineStr">
        <is>
          <t>Capex % of revenue — FY2026</t>
        </is>
      </c>
      <c r="B12" s="11" t="n">
        <v>0.17</v>
      </c>
    </row>
    <row r="13">
      <c r="A13" s="4" t="inlineStr">
        <is>
          <t>Capex % of revenue — FY2030 (glide)</t>
        </is>
      </c>
      <c r="B13" s="11" t="n">
        <v>0.1</v>
      </c>
    </row>
    <row r="15">
      <c r="A15" s="3" t="inlineStr">
        <is>
          <t>BEAR CASE — SSS decelerates to 2–3%, traffic goes negative, margins compress; openings slow</t>
        </is>
      </c>
    </row>
    <row r="16">
      <c r="A16" s="4" t="inlineStr">
        <is>
          <t>Revenue CAGR FY26→FY30</t>
        </is>
      </c>
      <c r="B16" s="20" t="n">
        <v>0.12</v>
      </c>
    </row>
    <row r="17">
      <c r="A17" s="4" t="inlineStr">
        <is>
          <t>Terminal EBITDA margin (FY2030)</t>
        </is>
      </c>
      <c r="B17" s="20" t="n">
        <v>0.18</v>
      </c>
    </row>
    <row r="18">
      <c r="A18" s="4" t="inlineStr">
        <is>
          <t>Terminal EV/EBITDA multiple</t>
        </is>
      </c>
      <c r="B18" s="21" t="n">
        <v>12</v>
      </c>
    </row>
    <row r="20">
      <c r="A20" s="12" t="inlineStr">
        <is>
          <t>Projection ($M)</t>
        </is>
      </c>
      <c r="C20" s="22" t="inlineStr">
        <is>
          <t>2026</t>
        </is>
      </c>
      <c r="D20" s="22" t="inlineStr">
        <is>
          <t>2027</t>
        </is>
      </c>
      <c r="E20" s="22" t="inlineStr">
        <is>
          <t>2028</t>
        </is>
      </c>
      <c r="F20" s="22" t="inlineStr">
        <is>
          <t>2029</t>
        </is>
      </c>
      <c r="G20" s="22" t="inlineStr">
        <is>
          <t>2030</t>
        </is>
      </c>
    </row>
    <row r="21">
      <c r="A21" s="4" t="inlineStr">
        <is>
          <t>Revenue</t>
        </is>
      </c>
      <c r="C21" s="8">
        <f>$B$5</f>
        <v/>
      </c>
      <c r="D21" s="8">
        <f>C21*(1+$B$16)</f>
        <v/>
      </c>
      <c r="E21" s="8">
        <f>D21*(1+$B$16)</f>
        <v/>
      </c>
      <c r="F21" s="8">
        <f>E21*(1+$B$16)</f>
        <v/>
      </c>
      <c r="G21" s="8">
        <f>F21*(1+$B$16)</f>
        <v/>
      </c>
    </row>
    <row r="22">
      <c r="A22" s="4" t="inlineStr">
        <is>
          <t>EBITDA margin %</t>
        </is>
      </c>
      <c r="C22" s="23">
        <f>$B$6/$B$5</f>
        <v/>
      </c>
      <c r="D22" s="23">
        <f>$B$6/$B$5+($B$17-$B$6/$B$5)*1/4</f>
        <v/>
      </c>
      <c r="E22" s="23">
        <f>$B$6/$B$5+($B$17-$B$6/$B$5)*2/4</f>
        <v/>
      </c>
      <c r="F22" s="23">
        <f>$B$6/$B$5+($B$17-$B$6/$B$5)*3/4</f>
        <v/>
      </c>
      <c r="G22" s="23">
        <f>$B$6/$B$5+($B$17-$B$6/$B$5)*4/4</f>
        <v/>
      </c>
    </row>
    <row r="23">
      <c r="A23" s="4" t="inlineStr">
        <is>
          <t>EBITDA</t>
        </is>
      </c>
      <c r="C23" s="8">
        <f>C21*C22</f>
        <v/>
      </c>
      <c r="D23" s="8">
        <f>D21*D22</f>
        <v/>
      </c>
      <c r="E23" s="8">
        <f>E21*E22</f>
        <v/>
      </c>
      <c r="F23" s="8">
        <f>F21*F22</f>
        <v/>
      </c>
      <c r="G23" s="8">
        <f>G21*G22</f>
        <v/>
      </c>
    </row>
    <row r="24">
      <c r="A24" s="4" t="inlineStr">
        <is>
          <t>Capex % rev</t>
        </is>
      </c>
      <c r="C24" s="23">
        <f>$B$12+($B$13-$B$12)*0/4</f>
        <v/>
      </c>
      <c r="D24" s="23">
        <f>$B$12+($B$13-$B$12)*1/4</f>
        <v/>
      </c>
      <c r="E24" s="23">
        <f>$B$12+($B$13-$B$12)*2/4</f>
        <v/>
      </c>
      <c r="F24" s="23">
        <f>$B$12+($B$13-$B$12)*3/4</f>
        <v/>
      </c>
      <c r="G24" s="23">
        <f>$B$12+($B$13-$B$12)*4/4</f>
        <v/>
      </c>
    </row>
    <row r="25">
      <c r="A25" s="4" t="inlineStr">
        <is>
          <t>Capex</t>
        </is>
      </c>
      <c r="C25" s="8">
        <f>C21*C24</f>
        <v/>
      </c>
      <c r="D25" s="8">
        <f>D21*D24</f>
        <v/>
      </c>
      <c r="E25" s="8">
        <f>E21*E24</f>
        <v/>
      </c>
      <c r="F25" s="8">
        <f>F21*F24</f>
        <v/>
      </c>
      <c r="G25" s="8">
        <f>G21*G24</f>
        <v/>
      </c>
    </row>
    <row r="26">
      <c r="A26" s="4" t="inlineStr">
        <is>
          <t>Cash taxes</t>
        </is>
      </c>
      <c r="C26" s="8">
        <f>C23*$B$11</f>
        <v/>
      </c>
      <c r="D26" s="8">
        <f>D23*$B$11</f>
        <v/>
      </c>
      <c r="E26" s="8">
        <f>E23*$B$11</f>
        <v/>
      </c>
      <c r="F26" s="8">
        <f>F23*$B$11</f>
        <v/>
      </c>
      <c r="G26" s="8">
        <f>G23*$B$11</f>
        <v/>
      </c>
    </row>
    <row r="27">
      <c r="A27" s="4" t="inlineStr">
        <is>
          <t>FCF</t>
        </is>
      </c>
      <c r="C27" s="8">
        <f>C23-C25-C26</f>
        <v/>
      </c>
      <c r="D27" s="8">
        <f>D23-D25-D26</f>
        <v/>
      </c>
      <c r="E27" s="8">
        <f>E23-E25-E26</f>
        <v/>
      </c>
      <c r="F27" s="8">
        <f>F23-F25-F26</f>
        <v/>
      </c>
      <c r="G27" s="8">
        <f>G23-G25-G26</f>
        <v/>
      </c>
    </row>
    <row r="28">
      <c r="A28" s="4" t="inlineStr">
        <is>
          <t>Discount factor</t>
        </is>
      </c>
      <c r="C28" s="24" t="n">
        <v>0</v>
      </c>
      <c r="D28" s="24">
        <f>1/(1+$B$7)^(1+0.4)</f>
        <v/>
      </c>
      <c r="E28" s="24">
        <f>1/(1+$B$7)^(2+0.4)</f>
        <v/>
      </c>
      <c r="F28" s="24">
        <f>1/(1+$B$7)^(3+0.4)</f>
        <v/>
      </c>
      <c r="G28" s="24">
        <f>1/(1+$B$7)^(4+0.4)</f>
        <v/>
      </c>
    </row>
    <row r="29">
      <c r="A29" s="4" t="inlineStr">
        <is>
          <t>PV of FCF</t>
        </is>
      </c>
      <c r="C29" s="8">
        <f>C27*C28</f>
        <v/>
      </c>
      <c r="D29" s="8">
        <f>D27*D28</f>
        <v/>
      </c>
      <c r="E29" s="8">
        <f>E27*E28</f>
        <v/>
      </c>
      <c r="F29" s="8">
        <f>F27*F28</f>
        <v/>
      </c>
      <c r="G29" s="8">
        <f>G27*G28</f>
        <v/>
      </c>
    </row>
    <row r="31">
      <c r="A31" s="4" t="inlineStr">
        <is>
          <t>Terminal EV (FY30 EBITDA × multiple) ($M)</t>
        </is>
      </c>
      <c r="B31" s="8">
        <f>G23*$B$18</f>
        <v/>
      </c>
    </row>
    <row r="32">
      <c r="A32" s="4" t="inlineStr">
        <is>
          <t>PV of Terminal Value ($M)</t>
        </is>
      </c>
      <c r="B32" s="8">
        <f>G23*$B$18/(1+$B$7)^$B$10</f>
        <v/>
      </c>
    </row>
    <row r="33">
      <c r="A33" s="4" t="inlineStr">
        <is>
          <t>PV of interim FCF FY27–FY30 ($M)</t>
        </is>
      </c>
      <c r="B33" s="8">
        <f>SUM(D29:G29)</f>
        <v/>
      </c>
    </row>
    <row r="34">
      <c r="A34" s="4" t="inlineStr">
        <is>
          <t>Enterprise Value ($M)</t>
        </is>
      </c>
      <c r="B34" s="8">
        <f>B32+B33</f>
        <v/>
      </c>
    </row>
    <row r="35">
      <c r="A35" s="4" t="inlineStr">
        <is>
          <t>+ Net cash ($M)</t>
        </is>
      </c>
      <c r="B35" s="8">
        <f>$B$8</f>
        <v/>
      </c>
    </row>
    <row r="36">
      <c r="A36" s="4" t="inlineStr">
        <is>
          <t>Equity Value ($M)</t>
        </is>
      </c>
      <c r="B36" s="8">
        <f>B34+B35</f>
        <v/>
      </c>
    </row>
    <row r="37">
      <c r="A37" s="4" t="inlineStr">
        <is>
          <t>÷ Fully exchanged diluted shares (M)</t>
        </is>
      </c>
      <c r="B37" s="25">
        <f>$B$9</f>
        <v/>
      </c>
    </row>
    <row r="38">
      <c r="A38" s="26" t="inlineStr">
        <is>
          <t>INTRINSIC PRICE / SHARE</t>
        </is>
      </c>
      <c r="B38" s="27">
        <f>B36/B37</f>
        <v/>
      </c>
    </row>
    <row r="41">
      <c r="A41" s="3" t="inlineStr">
        <is>
          <t>BASE CASE — 18–20% revenue growth; SSS normalizes 4–5%; margins expand to 22% by FY2030</t>
        </is>
      </c>
    </row>
    <row r="42">
      <c r="A42" s="4" t="inlineStr">
        <is>
          <t>Revenue CAGR FY26→FY30</t>
        </is>
      </c>
      <c r="B42" s="20" t="n">
        <v>0.185</v>
      </c>
    </row>
    <row r="43">
      <c r="A43" s="4" t="inlineStr">
        <is>
          <t>Terminal EBITDA margin (FY2030)</t>
        </is>
      </c>
      <c r="B43" s="20" t="n">
        <v>0.22</v>
      </c>
    </row>
    <row r="44">
      <c r="A44" s="4" t="inlineStr">
        <is>
          <t>Terminal EV/EBITDA multiple</t>
        </is>
      </c>
      <c r="B44" s="21" t="n">
        <v>18</v>
      </c>
    </row>
    <row r="46">
      <c r="A46" s="12" t="inlineStr">
        <is>
          <t>Projection ($M)</t>
        </is>
      </c>
      <c r="C46" s="22" t="inlineStr">
        <is>
          <t>2026</t>
        </is>
      </c>
      <c r="D46" s="22" t="inlineStr">
        <is>
          <t>2027</t>
        </is>
      </c>
      <c r="E46" s="22" t="inlineStr">
        <is>
          <t>2028</t>
        </is>
      </c>
      <c r="F46" s="22" t="inlineStr">
        <is>
          <t>2029</t>
        </is>
      </c>
      <c r="G46" s="22" t="inlineStr">
        <is>
          <t>2030</t>
        </is>
      </c>
    </row>
    <row r="47">
      <c r="A47" s="4" t="inlineStr">
        <is>
          <t>Revenue</t>
        </is>
      </c>
      <c r="C47" s="8">
        <f>$B$5</f>
        <v/>
      </c>
      <c r="D47" s="8">
        <f>C47*(1+$B$42)</f>
        <v/>
      </c>
      <c r="E47" s="8">
        <f>D47*(1+$B$42)</f>
        <v/>
      </c>
      <c r="F47" s="8">
        <f>E47*(1+$B$42)</f>
        <v/>
      </c>
      <c r="G47" s="8">
        <f>F47*(1+$B$42)</f>
        <v/>
      </c>
    </row>
    <row r="48">
      <c r="A48" s="4" t="inlineStr">
        <is>
          <t>EBITDA margin %</t>
        </is>
      </c>
      <c r="C48" s="23">
        <f>$B$6/$B$5</f>
        <v/>
      </c>
      <c r="D48" s="23">
        <f>$B$6/$B$5+($B$43-$B$6/$B$5)*1/4</f>
        <v/>
      </c>
      <c r="E48" s="23">
        <f>$B$6/$B$5+($B$43-$B$6/$B$5)*2/4</f>
        <v/>
      </c>
      <c r="F48" s="23">
        <f>$B$6/$B$5+($B$43-$B$6/$B$5)*3/4</f>
        <v/>
      </c>
      <c r="G48" s="23">
        <f>$B$6/$B$5+($B$43-$B$6/$B$5)*4/4</f>
        <v/>
      </c>
    </row>
    <row r="49">
      <c r="A49" s="4" t="inlineStr">
        <is>
          <t>EBITDA</t>
        </is>
      </c>
      <c r="C49" s="8">
        <f>C47*C48</f>
        <v/>
      </c>
      <c r="D49" s="8">
        <f>D47*D48</f>
        <v/>
      </c>
      <c r="E49" s="8">
        <f>E47*E48</f>
        <v/>
      </c>
      <c r="F49" s="8">
        <f>F47*F48</f>
        <v/>
      </c>
      <c r="G49" s="8">
        <f>G47*G48</f>
        <v/>
      </c>
    </row>
    <row r="50">
      <c r="A50" s="4" t="inlineStr">
        <is>
          <t>Capex % rev</t>
        </is>
      </c>
      <c r="C50" s="23">
        <f>$B$12+($B$13-$B$12)*0/4</f>
        <v/>
      </c>
      <c r="D50" s="23">
        <f>$B$12+($B$13-$B$12)*1/4</f>
        <v/>
      </c>
      <c r="E50" s="23">
        <f>$B$12+($B$13-$B$12)*2/4</f>
        <v/>
      </c>
      <c r="F50" s="23">
        <f>$B$12+($B$13-$B$12)*3/4</f>
        <v/>
      </c>
      <c r="G50" s="23">
        <f>$B$12+($B$13-$B$12)*4/4</f>
        <v/>
      </c>
    </row>
    <row r="51">
      <c r="A51" s="4" t="inlineStr">
        <is>
          <t>Capex</t>
        </is>
      </c>
      <c r="C51" s="8">
        <f>C47*C50</f>
        <v/>
      </c>
      <c r="D51" s="8">
        <f>D47*D50</f>
        <v/>
      </c>
      <c r="E51" s="8">
        <f>E47*E50</f>
        <v/>
      </c>
      <c r="F51" s="8">
        <f>F47*F50</f>
        <v/>
      </c>
      <c r="G51" s="8">
        <f>G47*G50</f>
        <v/>
      </c>
    </row>
    <row r="52">
      <c r="A52" s="4" t="inlineStr">
        <is>
          <t>Cash taxes</t>
        </is>
      </c>
      <c r="C52" s="8">
        <f>C49*$B$11</f>
        <v/>
      </c>
      <c r="D52" s="8">
        <f>D49*$B$11</f>
        <v/>
      </c>
      <c r="E52" s="8">
        <f>E49*$B$11</f>
        <v/>
      </c>
      <c r="F52" s="8">
        <f>F49*$B$11</f>
        <v/>
      </c>
      <c r="G52" s="8">
        <f>G49*$B$11</f>
        <v/>
      </c>
    </row>
    <row r="53">
      <c r="A53" s="4" t="inlineStr">
        <is>
          <t>FCF</t>
        </is>
      </c>
      <c r="C53" s="8">
        <f>C49-C51-C52</f>
        <v/>
      </c>
      <c r="D53" s="8">
        <f>D49-D51-D52</f>
        <v/>
      </c>
      <c r="E53" s="8">
        <f>E49-E51-E52</f>
        <v/>
      </c>
      <c r="F53" s="8">
        <f>F49-F51-F52</f>
        <v/>
      </c>
      <c r="G53" s="8">
        <f>G49-G51-G52</f>
        <v/>
      </c>
    </row>
    <row r="54">
      <c r="A54" s="4" t="inlineStr">
        <is>
          <t>Discount factor</t>
        </is>
      </c>
      <c r="C54" s="24" t="n">
        <v>0</v>
      </c>
      <c r="D54" s="24">
        <f>1/(1+$B$7)^(1+0.4)</f>
        <v/>
      </c>
      <c r="E54" s="24">
        <f>1/(1+$B$7)^(2+0.4)</f>
        <v/>
      </c>
      <c r="F54" s="24">
        <f>1/(1+$B$7)^(3+0.4)</f>
        <v/>
      </c>
      <c r="G54" s="24">
        <f>1/(1+$B$7)^(4+0.4)</f>
        <v/>
      </c>
    </row>
    <row r="55">
      <c r="A55" s="4" t="inlineStr">
        <is>
          <t>PV of FCF</t>
        </is>
      </c>
      <c r="C55" s="8">
        <f>C53*C54</f>
        <v/>
      </c>
      <c r="D55" s="8">
        <f>D53*D54</f>
        <v/>
      </c>
      <c r="E55" s="8">
        <f>E53*E54</f>
        <v/>
      </c>
      <c r="F55" s="8">
        <f>F53*F54</f>
        <v/>
      </c>
      <c r="G55" s="8">
        <f>G53*G54</f>
        <v/>
      </c>
    </row>
    <row r="57">
      <c r="A57" s="4" t="inlineStr">
        <is>
          <t>Terminal EV (FY30 EBITDA × multiple) ($M)</t>
        </is>
      </c>
      <c r="B57" s="8">
        <f>G49*$B$44</f>
        <v/>
      </c>
    </row>
    <row r="58">
      <c r="A58" s="4" t="inlineStr">
        <is>
          <t>PV of Terminal Value ($M)</t>
        </is>
      </c>
      <c r="B58" s="8">
        <f>G49*$B$44/(1+$B$7)^$B$10</f>
        <v/>
      </c>
    </row>
    <row r="59">
      <c r="A59" s="4" t="inlineStr">
        <is>
          <t>PV of interim FCF FY27–FY30 ($M)</t>
        </is>
      </c>
      <c r="B59" s="8">
        <f>SUM(D55:G55)</f>
        <v/>
      </c>
    </row>
    <row r="60">
      <c r="A60" s="4" t="inlineStr">
        <is>
          <t>Enterprise Value ($M)</t>
        </is>
      </c>
      <c r="B60" s="8">
        <f>B58+B59</f>
        <v/>
      </c>
    </row>
    <row r="61">
      <c r="A61" s="4" t="inlineStr">
        <is>
          <t>+ Net cash ($M)</t>
        </is>
      </c>
      <c r="B61" s="8">
        <f>$B$8</f>
        <v/>
      </c>
    </row>
    <row r="62">
      <c r="A62" s="4" t="inlineStr">
        <is>
          <t>Equity Value ($M)</t>
        </is>
      </c>
      <c r="B62" s="8">
        <f>B60+B61</f>
        <v/>
      </c>
    </row>
    <row r="63">
      <c r="A63" s="4" t="inlineStr">
        <is>
          <t>÷ Fully exchanged diluted shares (M)</t>
        </is>
      </c>
      <c r="B63" s="25">
        <f>$B$9</f>
        <v/>
      </c>
    </row>
    <row r="64">
      <c r="A64" s="28" t="inlineStr">
        <is>
          <t>INTRINSIC PRICE / SHARE</t>
        </is>
      </c>
      <c r="B64" s="29">
        <f>B62/B63</f>
        <v/>
      </c>
    </row>
    <row r="67">
      <c r="A67" s="3" t="inlineStr">
        <is>
          <t>BULL CASE — 22%+ growth via the 2,029-shop 2029 goal; 26% terminal margin (Salad and Go sites lost to 7 Brew Sep 2026 — ~3% of the goal, excluded from guidance; lever unchanged)</t>
        </is>
      </c>
    </row>
    <row r="68">
      <c r="A68" s="4" t="inlineStr">
        <is>
          <t>Revenue CAGR FY26→FY30</t>
        </is>
      </c>
      <c r="B68" s="20" t="n">
        <v>0.225</v>
      </c>
    </row>
    <row r="69">
      <c r="A69" s="4" t="inlineStr">
        <is>
          <t>Terminal EBITDA margin (FY2030)</t>
        </is>
      </c>
      <c r="B69" s="20" t="n">
        <v>0.26</v>
      </c>
    </row>
    <row r="70">
      <c r="A70" s="4" t="inlineStr">
        <is>
          <t>Terminal EV/EBITDA multiple</t>
        </is>
      </c>
      <c r="B70" s="21" t="n">
        <v>22</v>
      </c>
    </row>
    <row r="72">
      <c r="A72" s="12" t="inlineStr">
        <is>
          <t>Projection ($M)</t>
        </is>
      </c>
      <c r="C72" s="22" t="inlineStr">
        <is>
          <t>2026</t>
        </is>
      </c>
      <c r="D72" s="22" t="inlineStr">
        <is>
          <t>2027</t>
        </is>
      </c>
      <c r="E72" s="22" t="inlineStr">
        <is>
          <t>2028</t>
        </is>
      </c>
      <c r="F72" s="22" t="inlineStr">
        <is>
          <t>2029</t>
        </is>
      </c>
      <c r="G72" s="22" t="inlineStr">
        <is>
          <t>2030</t>
        </is>
      </c>
    </row>
    <row r="73">
      <c r="A73" s="4" t="inlineStr">
        <is>
          <t>Revenue</t>
        </is>
      </c>
      <c r="C73" s="8">
        <f>$B$5</f>
        <v/>
      </c>
      <c r="D73" s="8">
        <f>C73*(1+$B$68)</f>
        <v/>
      </c>
      <c r="E73" s="8">
        <f>D73*(1+$B$68)</f>
        <v/>
      </c>
      <c r="F73" s="8">
        <f>E73*(1+$B$68)</f>
        <v/>
      </c>
      <c r="G73" s="8">
        <f>F73*(1+$B$68)</f>
        <v/>
      </c>
    </row>
    <row r="74">
      <c r="A74" s="4" t="inlineStr">
        <is>
          <t>EBITDA margin %</t>
        </is>
      </c>
      <c r="C74" s="23">
        <f>$B$6/$B$5</f>
        <v/>
      </c>
      <c r="D74" s="23">
        <f>$B$6/$B$5+($B$69-$B$6/$B$5)*1/4</f>
        <v/>
      </c>
      <c r="E74" s="23">
        <f>$B$6/$B$5+($B$69-$B$6/$B$5)*2/4</f>
        <v/>
      </c>
      <c r="F74" s="23">
        <f>$B$6/$B$5+($B$69-$B$6/$B$5)*3/4</f>
        <v/>
      </c>
      <c r="G74" s="23">
        <f>$B$6/$B$5+($B$69-$B$6/$B$5)*4/4</f>
        <v/>
      </c>
    </row>
    <row r="75">
      <c r="A75" s="4" t="inlineStr">
        <is>
          <t>EBITDA</t>
        </is>
      </c>
      <c r="C75" s="8">
        <f>C73*C74</f>
        <v/>
      </c>
      <c r="D75" s="8">
        <f>D73*D74</f>
        <v/>
      </c>
      <c r="E75" s="8">
        <f>E73*E74</f>
        <v/>
      </c>
      <c r="F75" s="8">
        <f>F73*F74</f>
        <v/>
      </c>
      <c r="G75" s="8">
        <f>G73*G74</f>
        <v/>
      </c>
    </row>
    <row r="76">
      <c r="A76" s="4" t="inlineStr">
        <is>
          <t>Capex % rev</t>
        </is>
      </c>
      <c r="C76" s="23">
        <f>$B$12+($B$13-$B$12)*0/4</f>
        <v/>
      </c>
      <c r="D76" s="23">
        <f>$B$12+($B$13-$B$12)*1/4</f>
        <v/>
      </c>
      <c r="E76" s="23">
        <f>$B$12+($B$13-$B$12)*2/4</f>
        <v/>
      </c>
      <c r="F76" s="23">
        <f>$B$12+($B$13-$B$12)*3/4</f>
        <v/>
      </c>
      <c r="G76" s="23">
        <f>$B$12+($B$13-$B$12)*4/4</f>
        <v/>
      </c>
    </row>
    <row r="77">
      <c r="A77" s="4" t="inlineStr">
        <is>
          <t>Capex</t>
        </is>
      </c>
      <c r="C77" s="8">
        <f>C73*C76</f>
        <v/>
      </c>
      <c r="D77" s="8">
        <f>D73*D76</f>
        <v/>
      </c>
      <c r="E77" s="8">
        <f>E73*E76</f>
        <v/>
      </c>
      <c r="F77" s="8">
        <f>F73*F76</f>
        <v/>
      </c>
      <c r="G77" s="8">
        <f>G73*G76</f>
        <v/>
      </c>
    </row>
    <row r="78">
      <c r="A78" s="4" t="inlineStr">
        <is>
          <t>Cash taxes</t>
        </is>
      </c>
      <c r="C78" s="8">
        <f>C75*$B$11</f>
        <v/>
      </c>
      <c r="D78" s="8">
        <f>D75*$B$11</f>
        <v/>
      </c>
      <c r="E78" s="8">
        <f>E75*$B$11</f>
        <v/>
      </c>
      <c r="F78" s="8">
        <f>F75*$B$11</f>
        <v/>
      </c>
      <c r="G78" s="8">
        <f>G75*$B$11</f>
        <v/>
      </c>
    </row>
    <row r="79">
      <c r="A79" s="4" t="inlineStr">
        <is>
          <t>FCF</t>
        </is>
      </c>
      <c r="C79" s="8">
        <f>C75-C77-C78</f>
        <v/>
      </c>
      <c r="D79" s="8">
        <f>D75-D77-D78</f>
        <v/>
      </c>
      <c r="E79" s="8">
        <f>E75-E77-E78</f>
        <v/>
      </c>
      <c r="F79" s="8">
        <f>F75-F77-F78</f>
        <v/>
      </c>
      <c r="G79" s="8">
        <f>G75-G77-G78</f>
        <v/>
      </c>
    </row>
    <row r="80">
      <c r="A80" s="4" t="inlineStr">
        <is>
          <t>Discount factor</t>
        </is>
      </c>
      <c r="C80" s="24" t="n">
        <v>0</v>
      </c>
      <c r="D80" s="24">
        <f>1/(1+$B$7)^(1+0.4)</f>
        <v/>
      </c>
      <c r="E80" s="24">
        <f>1/(1+$B$7)^(2+0.4)</f>
        <v/>
      </c>
      <c r="F80" s="24">
        <f>1/(1+$B$7)^(3+0.4)</f>
        <v/>
      </c>
      <c r="G80" s="24">
        <f>1/(1+$B$7)^(4+0.4)</f>
        <v/>
      </c>
    </row>
    <row r="81">
      <c r="A81" s="4" t="inlineStr">
        <is>
          <t>PV of FCF</t>
        </is>
      </c>
      <c r="C81" s="8">
        <f>C79*C80</f>
        <v/>
      </c>
      <c r="D81" s="8">
        <f>D79*D80</f>
        <v/>
      </c>
      <c r="E81" s="8">
        <f>E79*E80</f>
        <v/>
      </c>
      <c r="F81" s="8">
        <f>F79*F80</f>
        <v/>
      </c>
      <c r="G81" s="8">
        <f>G79*G80</f>
        <v/>
      </c>
    </row>
    <row r="83">
      <c r="A83" s="4" t="inlineStr">
        <is>
          <t>Terminal EV (FY30 EBITDA × multiple) ($M)</t>
        </is>
      </c>
      <c r="B83" s="8">
        <f>G75*$B$70</f>
        <v/>
      </c>
    </row>
    <row r="84">
      <c r="A84" s="4" t="inlineStr">
        <is>
          <t>PV of Terminal Value ($M)</t>
        </is>
      </c>
      <c r="B84" s="8">
        <f>G75*$B$70/(1+$B$7)^$B$10</f>
        <v/>
      </c>
    </row>
    <row r="85">
      <c r="A85" s="4" t="inlineStr">
        <is>
          <t>PV of interim FCF FY27–FY30 ($M)</t>
        </is>
      </c>
      <c r="B85" s="8">
        <f>SUM(D81:G81)</f>
        <v/>
      </c>
    </row>
    <row r="86">
      <c r="A86" s="4" t="inlineStr">
        <is>
          <t>Enterprise Value ($M)</t>
        </is>
      </c>
      <c r="B86" s="8">
        <f>B84+B85</f>
        <v/>
      </c>
    </row>
    <row r="87">
      <c r="A87" s="4" t="inlineStr">
        <is>
          <t>+ Net cash ($M)</t>
        </is>
      </c>
      <c r="B87" s="8">
        <f>$B$8</f>
        <v/>
      </c>
    </row>
    <row r="88">
      <c r="A88" s="4" t="inlineStr">
        <is>
          <t>Equity Value ($M)</t>
        </is>
      </c>
      <c r="B88" s="8">
        <f>B86+B87</f>
        <v/>
      </c>
    </row>
    <row r="89">
      <c r="A89" s="4" t="inlineStr">
        <is>
          <t>÷ Fully exchanged diluted shares (M)</t>
        </is>
      </c>
      <c r="B89" s="25">
        <f>$B$9</f>
        <v/>
      </c>
    </row>
    <row r="90">
      <c r="A90" s="30" t="inlineStr">
        <is>
          <t>INTRINSIC PRICE / SHARE</t>
        </is>
      </c>
      <c r="B90" s="31">
        <f>B88/B89</f>
        <v/>
      </c>
    </row>
  </sheetData>
  <mergeCells count="5">
    <mergeCell ref="A4:B4"/>
    <mergeCell ref="A67:H67"/>
    <mergeCell ref="A15:H15"/>
    <mergeCell ref="A41:H41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UNIT ECONOMICS + PEER COMPS + LEADERSHIP SCORECARD</t>
        </is>
      </c>
    </row>
    <row r="2">
      <c r="A2" s="2" t="inlineStr">
        <is>
          <t>Restaurant methodology — Rule of 40 replaced by unit-economics scorecard (see non-SaaS adaptations).</t>
        </is>
      </c>
    </row>
    <row r="4">
      <c r="A4" s="3" t="inlineStr">
        <is>
          <t>UNIT ECONOMICS SCORECARD (Q2 2026)</t>
        </is>
      </c>
    </row>
    <row r="5">
      <c r="A5" s="12" t="inlineStr">
        <is>
          <t>Metric</t>
        </is>
      </c>
      <c r="B5" s="12" t="inlineStr">
        <is>
          <t>Value</t>
        </is>
      </c>
      <c r="C5" s="12" t="inlineStr">
        <is>
          <t>Watch</t>
        </is>
      </c>
    </row>
    <row r="6">
      <c r="A6" s="4" t="inlineStr">
        <is>
          <t>Systemwide SSS</t>
        </is>
      </c>
      <c r="B6" s="6" t="inlineStr">
        <is>
          <t>+5.8%</t>
        </is>
      </c>
      <c r="C6" s="4" t="inlineStr">
        <is>
          <t>Q3 guide 4–5% = deceleration</t>
        </is>
      </c>
    </row>
    <row r="7">
      <c r="A7" s="4" t="inlineStr">
        <is>
          <t>System transaction growth</t>
        </is>
      </c>
      <c r="B7" s="6" t="inlineStr">
        <is>
          <t>+1.7%</t>
        </is>
      </c>
      <c r="C7" s="4" t="inlineStr">
        <is>
          <t>ALERT if negative — was +3.7% PY</t>
        </is>
      </c>
    </row>
    <row r="8">
      <c r="A8" s="4" t="inlineStr">
        <is>
          <t>Avg ticket growth</t>
        </is>
      </c>
      <c r="B8" s="6" t="inlineStr">
        <is>
          <t>+4.1%</t>
        </is>
      </c>
      <c r="C8" s="4" t="inlineStr">
        <is>
          <t>Pricing contribution &lt;1% in H2'26</t>
        </is>
      </c>
    </row>
    <row r="9">
      <c r="A9" s="4" t="inlineStr">
        <is>
          <t>Co-op contribution margin</t>
        </is>
      </c>
      <c r="B9" s="6" t="inlineStr">
        <is>
          <t>30.6%</t>
        </is>
      </c>
      <c r="C9" s="4" t="inlineStr">
        <is>
          <t>vs 31.1% PY; coffee + occupancy pressure</t>
        </is>
      </c>
    </row>
    <row r="10">
      <c r="A10" s="4" t="inlineStr">
        <is>
          <t>Adj. EBITDA margin</t>
        </is>
      </c>
      <c r="B10" s="6" t="inlineStr">
        <is>
          <t>20.6%</t>
        </is>
      </c>
      <c r="C10" s="4" t="inlineStr">
        <is>
          <t>vs 21.4% PY</t>
        </is>
      </c>
    </row>
    <row r="11">
      <c r="A11" s="4" t="inlineStr">
        <is>
          <t>Net new shops (Q2 / H1)</t>
        </is>
      </c>
      <c r="B11" s="6" t="inlineStr">
        <is>
          <t>48 / 89</t>
        </is>
      </c>
      <c r="C11" s="4" t="inlineStr">
        <is>
          <t>On track for ≥185 FY26</t>
        </is>
      </c>
    </row>
    <row r="12">
      <c r="A12" s="4" t="inlineStr">
        <is>
          <t>Total shops</t>
        </is>
      </c>
      <c r="B12" s="6" t="inlineStr">
        <is>
          <t>1,225 of 4,000+ potential</t>
        </is>
      </c>
      <c r="C12" s="4" t="inlineStr">
        <is>
          <t>~31% penetration; 2,029-shop 2029 goal, ~90% pipeline secured</t>
        </is>
      </c>
    </row>
    <row r="13">
      <c r="A13" s="4" t="inlineStr">
        <is>
          <t>Est. AUV (systemwide)</t>
        </is>
      </c>
      <c r="B13" s="6" t="inlineStr">
        <is>
          <t>~$2.2M (est.)</t>
        </is>
      </c>
      <c r="C13" s="4" t="inlineStr">
        <is>
          <t>Q1'26 was $2.16M +6.6% YoY</t>
        </is>
      </c>
    </row>
    <row r="16">
      <c r="A16" s="3" t="inlineStr">
        <is>
          <t>PEER COMPARABLES (approximate, Aug 2026)</t>
        </is>
      </c>
    </row>
    <row r="17">
      <c r="A17" s="12" t="inlineStr">
        <is>
          <t>Company</t>
        </is>
      </c>
      <c r="B17" s="12" t="inlineStr">
        <is>
          <t>Ticker</t>
        </is>
      </c>
      <c r="C17" s="12" t="inlineStr">
        <is>
          <t>SSS %</t>
        </is>
      </c>
      <c r="D17" s="12" t="inlineStr">
        <is>
          <t>RL margin %</t>
        </is>
      </c>
      <c r="E17" s="12" t="inlineStr">
        <is>
          <t>EV/EBITDA (fwd)</t>
        </is>
      </c>
      <c r="F17" s="12" t="inlineStr">
        <is>
          <t>Rev growth (fwd)</t>
        </is>
      </c>
      <c r="G17" s="12" t="inlineStr">
        <is>
          <t>Note</t>
        </is>
      </c>
    </row>
    <row r="18">
      <c r="A18" s="32" t="inlineStr">
        <is>
          <t>Dutch Bros</t>
        </is>
      </c>
      <c r="B18" s="32" t="inlineStr">
        <is>
          <t>BROS</t>
        </is>
      </c>
      <c r="C18" s="33" t="inlineStr">
        <is>
          <t>+5.8%</t>
        </is>
      </c>
      <c r="D18" s="33" t="inlineStr">
        <is>
          <t>~31%</t>
        </is>
      </c>
      <c r="E18" s="33" t="inlineStr">
        <is>
          <t>~24x</t>
        </is>
      </c>
      <c r="F18" s="33" t="inlineStr">
        <is>
          <t>~25–28%</t>
        </is>
      </c>
      <c r="G18" s="33" t="inlineStr">
        <is>
          <t>Subject — fastest grower in set</t>
        </is>
      </c>
    </row>
    <row r="19">
      <c r="A19" s="4" t="inlineStr">
        <is>
          <t>Starbucks</t>
        </is>
      </c>
      <c r="B19" s="4" t="inlineStr">
        <is>
          <t>SBUX</t>
        </is>
      </c>
      <c r="C19" s="6" t="inlineStr">
        <is>
          <t>~+1–3%</t>
        </is>
      </c>
      <c r="D19" s="6" t="inlineStr">
        <is>
          <t>n/a</t>
        </is>
      </c>
      <c r="E19" s="6" t="inlineStr">
        <is>
          <t>~16–18x</t>
        </is>
      </c>
      <c r="F19" s="6" t="inlineStr">
        <is>
          <t>~3–5%</t>
        </is>
      </c>
      <c r="G19" s="6" t="inlineStr">
        <is>
          <t>Scale leader, traffic-challenged</t>
        </is>
      </c>
    </row>
    <row r="20">
      <c r="A20" s="4" t="inlineStr">
        <is>
          <t>Chipotle</t>
        </is>
      </c>
      <c r="B20" s="4" t="inlineStr">
        <is>
          <t>CMG</t>
        </is>
      </c>
      <c r="C20" s="6" t="inlineStr">
        <is>
          <t>~+2–4%</t>
        </is>
      </c>
      <c r="D20" s="6" t="inlineStr">
        <is>
          <t>~26–27%</t>
        </is>
      </c>
      <c r="E20" s="6" t="inlineStr">
        <is>
          <t>~24–27x</t>
        </is>
      </c>
      <c r="F20" s="6" t="inlineStr">
        <is>
          <t>~10–12%</t>
        </is>
      </c>
      <c r="G20" s="6" t="inlineStr">
        <is>
          <t>Margin benchmark</t>
        </is>
      </c>
    </row>
    <row r="21">
      <c r="A21" s="4" t="inlineStr">
        <is>
          <t>CAVA</t>
        </is>
      </c>
      <c r="B21" s="4" t="inlineStr">
        <is>
          <t>CAVA</t>
        </is>
      </c>
      <c r="C21" s="6" t="inlineStr">
        <is>
          <t>~+5–8%</t>
        </is>
      </c>
      <c r="D21" s="6" t="inlineStr">
        <is>
          <t>~25%</t>
        </is>
      </c>
      <c r="E21" s="6" t="inlineStr">
        <is>
          <t>~40x+</t>
        </is>
      </c>
      <c r="F21" s="6" t="inlineStr">
        <is>
          <t>~20–25%</t>
        </is>
      </c>
      <c r="G21" s="6" t="inlineStr">
        <is>
          <t>Closest growth comp, richer multiple</t>
        </is>
      </c>
    </row>
    <row r="22">
      <c r="A22" s="4" t="inlineStr">
        <is>
          <t>Shake Shack</t>
        </is>
      </c>
      <c r="B22" s="4" t="inlineStr">
        <is>
          <t>SHAK</t>
        </is>
      </c>
      <c r="C22" s="6" t="inlineStr">
        <is>
          <t>~+2–4%</t>
        </is>
      </c>
      <c r="D22" s="6" t="inlineStr">
        <is>
          <t>~21–22%</t>
        </is>
      </c>
      <c r="E22" s="6" t="inlineStr">
        <is>
          <t>~22–26x</t>
        </is>
      </c>
      <c r="F22" s="6" t="inlineStr">
        <is>
          <t>~12–15%</t>
        </is>
      </c>
      <c r="G22" s="6" t="inlineStr">
        <is>
          <t>Mid-growth fast casual</t>
        </is>
      </c>
    </row>
    <row r="23">
      <c r="A23" s="4" t="inlineStr">
        <is>
          <t>Wingstop</t>
        </is>
      </c>
      <c r="B23" s="4" t="inlineStr">
        <is>
          <t>WING</t>
        </is>
      </c>
      <c r="C23" s="6" t="inlineStr">
        <is>
          <t>~flat–+3%</t>
        </is>
      </c>
      <c r="D23" s="6" t="inlineStr">
        <is>
          <t>n/a (franchise)</t>
        </is>
      </c>
      <c r="E23" s="6" t="inlineStr">
        <is>
          <t>~38–45x</t>
        </is>
      </c>
      <c r="F23" s="6" t="inlineStr">
        <is>
          <t>~15–20%</t>
        </is>
      </c>
      <c r="G23" s="6" t="inlineStr">
        <is>
          <t>Franchise model premium</t>
        </is>
      </c>
    </row>
    <row r="24">
      <c r="A24" s="4" t="inlineStr">
        <is>
          <t>7 Brew</t>
        </is>
      </c>
      <c r="B24" s="4" t="inlineStr">
        <is>
          <t>Private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Rapid</t>
        </is>
      </c>
      <c r="G24" s="6" t="inlineStr">
        <is>
          <t>Most direct competitor; won 73 Salad and Go sites for $143.2M (Sep 1, 2026 auction)</t>
        </is>
      </c>
    </row>
    <row r="25">
      <c r="A25" s="2" t="inlineStr">
        <is>
          <t>Peer figures are approximate (Aug 2026 web sources; not refreshed in the Sep 28 update); directional context only.</t>
        </is>
      </c>
    </row>
    <row r="27">
      <c r="A27" s="3" t="inlineStr">
        <is>
          <t>LEADERSHIP SCORECARD (Nash-style, 0/5/10 — evidence required)</t>
        </is>
      </c>
    </row>
    <row r="28">
      <c r="A28" s="34" t="inlineStr">
        <is>
          <t>CEO: Christine Barone (hired, since Jan 2024; ex-Starbucks SVP, ex-True Food Kitchen CEO)</t>
        </is>
      </c>
    </row>
    <row r="29">
      <c r="A29" s="34" t="inlineStr">
        <is>
          <t>Founder: Travis Boersma, Executive Chairman — 38.8% economic / 73.1% voting (Class B 10:1 super-vote)</t>
        </is>
      </c>
    </row>
    <row r="31">
      <c r="A31" s="12" t="inlineStr">
        <is>
          <t>Criterion</t>
        </is>
      </c>
      <c r="B31" s="12" t="inlineStr">
        <is>
          <t>Score (0/5/10)</t>
        </is>
      </c>
      <c r="C31" s="12" t="inlineStr">
        <is>
          <t>Evidence</t>
        </is>
      </c>
    </row>
    <row r="32">
      <c r="A32" s="4" t="inlineStr">
        <is>
          <t>Execution track record</t>
        </is>
      </c>
      <c r="B32" s="35" t="n">
        <v>10</v>
      </c>
      <c r="C32" s="4" t="inlineStr">
        <is>
          <t>Q2'26 beat; FY26 rev guide raised to $2.10–2.13B and EBITDA to $385–390M; 32.5% rev growth; 89 H1 openings on ≥185 pace</t>
        </is>
      </c>
    </row>
    <row r="33">
      <c r="A33" s="4" t="inlineStr">
        <is>
          <t>Founder / tenure / skin in game</t>
        </is>
      </c>
      <c r="B33" s="35" t="n">
        <v>5</v>
      </c>
      <c r="C33" s="4" t="inlineStr">
        <is>
          <t>Founder Exec Chairman w/ 38.8% economic stake; but hired CEO tenure ~2.7 yrs (Sep 2026); founder in programmatic sell-down</t>
        </is>
      </c>
    </row>
    <row r="34">
      <c r="A34" s="4" t="inlineStr">
        <is>
          <t>Capital allocation</t>
        </is>
      </c>
      <c r="B34" s="35" t="n">
        <v>5</v>
      </c>
      <c r="C34" s="4" t="inlineStr">
        <is>
          <t>Clutch $20M/20 sites; Salad and Go $105M stalking-horse bid — declined to counter 7 Brew's $143.2M (Sep 2026): price discipline, but 65 sites lost; capex $350–370M, negative FCF, no buybacks</t>
        </is>
      </c>
    </row>
    <row r="35">
      <c r="A35" s="4" t="inlineStr">
        <is>
          <t>Insider activity (Form 4)</t>
        </is>
      </c>
      <c r="B35" s="35" t="n">
        <v>5</v>
      </c>
      <c r="C35" s="4" t="inlineStr">
        <is>
          <t>Director Todd Penegor bought 2,000 sh open-market @$51.56 (Aug 13, 2026) — first open-market buy found in 12 months; offsets little vs chair-linked 10b5-1 sales of 2.25M sh H1'26 @$60–64; no sales filed Aug 10–Sep 28</t>
        </is>
      </c>
    </row>
    <row r="36">
      <c r="A36" s="4" t="inlineStr">
        <is>
          <t>Governance &amp; alignment</t>
        </is>
      </c>
      <c r="B36" s="35" t="n">
        <v>5</v>
      </c>
      <c r="C36" s="4" t="inlineStr">
        <is>
          <t>Dual-class: Boersma 73.1% votes vs 38.8% economics (Class B 10 votes/sh, sunset &lt;5%); separate CEO/Chair; no restatements</t>
        </is>
      </c>
    </row>
    <row r="37">
      <c r="A37" s="12" t="inlineStr">
        <is>
          <t>COMPOSITE (max 50)</t>
        </is>
      </c>
      <c r="B37" s="36">
        <f>SUM(B32:B36)</f>
        <v/>
      </c>
      <c r="C37" s="16">
        <f>IF(B37&gt;=40,"Strong — feeds Bull Case",IF(B37&gt;=25,"Neutral — not a differentiator","Risk — feeds Bear Case"))</f>
        <v/>
      </c>
    </row>
  </sheetData>
  <mergeCells count="11">
    <mergeCell ref="C35:G35"/>
    <mergeCell ref="A1:G1"/>
    <mergeCell ref="C34:G34"/>
    <mergeCell ref="A27:G27"/>
    <mergeCell ref="C32:G32"/>
    <mergeCell ref="C33:G33"/>
    <mergeCell ref="A16:G16"/>
    <mergeCell ref="C37:G37"/>
    <mergeCell ref="C36:G36"/>
    <mergeCell ref="C31:G31"/>
    <mergeCell ref="A4:C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OPTIONS STRATEGY — LONG EQUITY HOLDER OVERLAY (Sep 28, 2026)</t>
        </is>
      </c>
    </row>
    <row r="3">
      <c r="A3" s="3" t="inlineStr">
        <is>
          <t>MARKET DATA REFERENCE</t>
        </is>
      </c>
    </row>
    <row r="4">
      <c r="A4" s="4" t="inlineStr">
        <is>
          <t>Current price</t>
        </is>
      </c>
      <c r="B4" s="5" t="n">
        <v>37.89</v>
      </c>
    </row>
    <row r="5">
      <c r="A5" s="4" t="inlineStr">
        <is>
          <t>30-day implied volatility</t>
        </is>
      </c>
      <c r="B5" s="11" t="n">
        <v>0.3329</v>
      </c>
    </row>
    <row r="6">
      <c r="A6" s="4" t="inlineStr">
        <is>
          <t>DCF base (model)</t>
        </is>
      </c>
      <c r="B6" s="37">
        <f>BROS_Model!B64</f>
        <v/>
      </c>
    </row>
    <row r="7">
      <c r="A7" s="4" t="inlineStr">
        <is>
          <t>DCF bear (model)</t>
        </is>
      </c>
      <c r="B7" s="37">
        <f>BROS_Model!B38</f>
        <v/>
      </c>
    </row>
    <row r="8">
      <c r="A8" s="4" t="inlineStr">
        <is>
          <t>Support / Resistance</t>
        </is>
      </c>
      <c r="B8" s="6" t="inlineStr">
        <is>
          <t>$37.72, $34–35 / $40–41, $43–45</t>
        </is>
      </c>
    </row>
    <row r="9">
      <c r="A9" s="4" t="inlineStr">
        <is>
          <t>Risk-free rate</t>
        </is>
      </c>
      <c r="B9" s="11" t="n">
        <v>0.04</v>
      </c>
    </row>
    <row r="10">
      <c r="A10" s="3" t="inlineStr">
        <is>
          <t>BLACK-SCHOLES PRICER (European, no dividends; days from Sep 28, 2026)</t>
        </is>
      </c>
    </row>
    <row r="11">
      <c r="A11" s="12" t="inlineStr">
        <is>
          <t>Leg</t>
        </is>
      </c>
      <c r="B11" s="12" t="inlineStr">
        <is>
          <t>Strike ($)</t>
        </is>
      </c>
      <c r="C11" s="12" t="inlineStr">
        <is>
          <t>Days</t>
        </is>
      </c>
      <c r="D11" s="12" t="inlineStr">
        <is>
          <t>Type</t>
        </is>
      </c>
      <c r="E11" s="12" t="inlineStr">
        <is>
          <t>d1</t>
        </is>
      </c>
      <c r="F11" s="12" t="inlineStr">
        <is>
          <t>d2</t>
        </is>
      </c>
      <c r="G11" s="12" t="inlineStr">
        <is>
          <t>Premium est. ($/sh)</t>
        </is>
      </c>
    </row>
    <row r="12">
      <c r="A12" s="4" t="inlineStr">
        <is>
          <t>CSP — sell Nov 20 $35 put</t>
        </is>
      </c>
      <c r="B12" s="5" t="n">
        <v>35</v>
      </c>
      <c r="C12" s="7" t="n">
        <v>53</v>
      </c>
      <c r="D12" s="6" t="inlineStr">
        <is>
          <t>Put</t>
        </is>
      </c>
      <c r="E12" s="24">
        <f>(LN($B$4/B12)+($B$9+$B$5^2/2)*(C12/365))/($B$5*SQRT(C12/365))</f>
        <v/>
      </c>
      <c r="F12" s="24">
        <f>E12-$B$5*SQRT(C12/365)</f>
        <v/>
      </c>
      <c r="G12" s="38">
        <f>IF(D12="Call",$B$4*NORMSDIST(E12)-B12*EXP(-$B$9*C12/365)*NORMSDIST(F12),B12*EXP(-$B$9*C12/365)*NORMSDIST(-F12)-$B$4*NORMSDIST(-E12))</f>
        <v/>
      </c>
    </row>
    <row r="13">
      <c r="A13" s="4" t="inlineStr">
        <is>
          <t>CSP ladder — sell Dec 18 $32.5 put</t>
        </is>
      </c>
      <c r="B13" s="5" t="n">
        <v>32.5</v>
      </c>
      <c r="C13" s="7" t="n">
        <v>81</v>
      </c>
      <c r="D13" s="6" t="inlineStr">
        <is>
          <t>Put</t>
        </is>
      </c>
      <c r="E13" s="24">
        <f>(LN($B$4/B13)+($B$9+$B$5^2/2)*(C13/365))/($B$5*SQRT(C13/365))</f>
        <v/>
      </c>
      <c r="F13" s="24">
        <f>E13-$B$5*SQRT(C13/365)</f>
        <v/>
      </c>
      <c r="G13" s="38">
        <f>IF(D13="Call",$B$4*NORMSDIST(E13)-B13*EXP(-$B$9*C13/365)*NORMSDIST(F13),B13*EXP(-$B$9*C13/365)*NORMSDIST(-F13)-$B$4*NORMSDIST(-E13))</f>
        <v/>
      </c>
    </row>
    <row r="14">
      <c r="A14" s="4" t="inlineStr">
        <is>
          <t>Covered call — sell Nov 20 $45 call</t>
        </is>
      </c>
      <c r="B14" s="5" t="n">
        <v>45</v>
      </c>
      <c r="C14" s="7" t="n">
        <v>53</v>
      </c>
      <c r="D14" s="6" t="inlineStr">
        <is>
          <t>Call</t>
        </is>
      </c>
      <c r="E14" s="24">
        <f>(LN($B$4/B14)+($B$9+$B$5^2/2)*(C14/365))/($B$5*SQRT(C14/365))</f>
        <v/>
      </c>
      <c r="F14" s="24">
        <f>E14-$B$5*SQRT(C14/365)</f>
        <v/>
      </c>
      <c r="G14" s="38">
        <f>IF(D14="Call",$B$4*NORMSDIST(E14)-B14*EXP(-$B$9*C14/365)*NORMSDIST(F14),B14*EXP(-$B$9*C14/365)*NORMSDIST(-F14)-$B$4*NORMSDIST(-E14))</f>
        <v/>
      </c>
    </row>
    <row r="17">
      <c r="A17" s="3" t="inlineStr">
        <is>
          <t>RECOMMENDED STRATEGIES (Black-Scholes estimates at 33% IV — verify live)</t>
        </is>
      </c>
    </row>
    <row r="18">
      <c r="A18" s="12" t="inlineStr">
        <is>
          <t>Strategy</t>
        </is>
      </c>
      <c r="B18" s="12" t="inlineStr">
        <is>
          <t>Premium $/sh</t>
        </is>
      </c>
      <c r="C18" s="12" t="inlineStr">
        <is>
          <t>Per-cycle yield</t>
        </is>
      </c>
      <c r="D18" s="12" t="inlineStr">
        <is>
          <t>Effective entry / cap</t>
        </is>
      </c>
      <c r="E18" s="12" t="inlineStr">
        <is>
          <t>Max loss $/contract</t>
        </is>
      </c>
      <c r="F18" s="12" t="inlineStr">
        <is>
          <t>Max gain</t>
        </is>
      </c>
      <c r="G18" s="12" t="inlineStr">
        <is>
          <t>Rationale</t>
        </is>
      </c>
    </row>
    <row r="19">
      <c r="A19" s="4" t="inlineStr">
        <is>
          <t>CSP (accumulate, final tranche)</t>
        </is>
      </c>
      <c r="B19" s="39">
        <f>G12</f>
        <v/>
      </c>
      <c r="C19" s="23">
        <f>G12/B12</f>
        <v/>
      </c>
      <c r="D19" s="39">
        <f>B12-G12</f>
        <v/>
      </c>
      <c r="E19" s="39">
        <f>(B12-G12)*100</f>
        <v/>
      </c>
      <c r="F19" s="4" t="inlineStr">
        <is>
          <t>Premium if &gt;$35</t>
        </is>
      </c>
      <c r="G19" s="4" t="inlineStr">
        <is>
          <t>Strike at mid-2024 support; assignment ~$34.31 = 42% below DCF base, 32% above bear. Spans the Nov 4 print.</t>
        </is>
      </c>
    </row>
    <row r="20">
      <c r="A20" s="4" t="inlineStr">
        <is>
          <t>CSP ladder (only if sized for bear)</t>
        </is>
      </c>
      <c r="B20" s="39">
        <f>G13</f>
        <v/>
      </c>
      <c r="C20" s="23">
        <f>G13/B13</f>
        <v/>
      </c>
      <c r="D20" s="39">
        <f>B13-G13</f>
        <v/>
      </c>
      <c r="E20" s="39">
        <f>(B13-G13)*100</f>
        <v/>
      </c>
      <c r="F20" s="4" t="inlineStr">
        <is>
          <t>Premium if &gt;$32.5</t>
        </is>
      </c>
      <c r="G20" s="4" t="inlineStr">
        <is>
          <t>Deeper entry near the Aug–Sep 2024 base; low IV makes the premium thin.</t>
        </is>
      </c>
    </row>
    <row r="21">
      <c r="A21" s="4" t="inlineStr">
        <is>
          <t>Covered call (on a bounce only)</t>
        </is>
      </c>
      <c r="B21" s="39">
        <f>G14</f>
        <v/>
      </c>
      <c r="C21" s="23">
        <f>G14/B4</f>
        <v/>
      </c>
      <c r="D21" s="39">
        <f>B14</f>
        <v/>
      </c>
      <c r="E21" s="4" t="inlineStr">
        <is>
          <t>Shares called away above $45</t>
        </is>
      </c>
      <c r="F21" s="4" t="inlineStr">
        <is>
          <t>Premium + move to $45</t>
        </is>
      </c>
      <c r="G21" s="4" t="inlineStr">
        <is>
          <t>Strike at the old 52-wk low / gap resistance; writing it at $38 caps the recovery the thesis needs.</t>
        </is>
      </c>
    </row>
    <row r="23">
      <c r="A23" s="2" t="inlineStr">
        <is>
          <t>Sizing rule: compute max loss in dollars before sizing. Bear-case DCF is ~$26 — size so a move there is acceptable. Yields are per-cycle, not annualized. Any $47.5 puts from the Aug 10 plan are in the money at $37.89.</t>
        </is>
      </c>
    </row>
  </sheetData>
  <mergeCells count="4">
    <mergeCell ref="A3:B3"/>
    <mergeCell ref="A1:G1"/>
    <mergeCell ref="A10:G10"/>
    <mergeCell ref="A17:G1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SOCIAL SENTIMENT — Stocktwits (data layer, not an edge)</t>
        </is>
      </c>
    </row>
    <row r="2">
      <c r="A2" s="2" t="inlineStr">
        <is>
          <t>Context only. Never an input to the valuation, scenario weights, rating or options strikes. 2026-09 calibration (7 tickers): sentiment moves with price the same day and predicted nothing over the next 1–20 sessions.</t>
        </is>
      </c>
    </row>
    <row r="3">
      <c r="A3" s="2" t="inlineStr">
        <is>
          <t>Symbol BROS · pulled 2026-09-28T07:31:00-07:00 · last bucket 2026-09-28 (provisional — Stocktwits revises the newest buckets)</t>
        </is>
      </c>
    </row>
    <row r="5">
      <c r="A5" s="3" t="inlineStr">
        <is>
          <t>SNAPSHOT (used in the memo)</t>
        </is>
      </c>
    </row>
    <row r="6">
      <c r="A6" s="4" t="inlineStr">
        <is>
          <t>Sentiment score (0–100)</t>
        </is>
      </c>
      <c r="B6" s="7" t="n">
        <v>61</v>
      </c>
    </row>
    <row r="7">
      <c r="A7" s="4" t="inlineStr">
        <is>
          <t>Band</t>
        </is>
      </c>
      <c r="B7" s="6" t="inlineStr">
        <is>
          <t>Slightly Bullish</t>
        </is>
      </c>
    </row>
    <row r="8">
      <c r="A8" s="4" t="inlineStr">
        <is>
          <t>Change over 20 sessions (pts)</t>
        </is>
      </c>
      <c r="B8" s="7" t="n">
        <v>22</v>
      </c>
    </row>
    <row r="9">
      <c r="A9" s="4" t="inlineStr">
        <is>
          <t>Message volume (0–100)</t>
        </is>
      </c>
      <c r="B9" s="7" t="n">
        <v>54</v>
      </c>
    </row>
    <row r="10">
      <c r="A10" s="4" t="inlineStr">
        <is>
          <t>Watchers</t>
        </is>
      </c>
      <c r="B10" s="7" t="n">
        <v>12304</v>
      </c>
    </row>
    <row r="12">
      <c r="A12" s="3" t="inlineStr">
        <is>
          <t>REFERENCE ONLY — not used in the memo</t>
        </is>
      </c>
    </row>
    <row r="13">
      <c r="A13" s="4" t="inlineStr">
        <is>
          <t>Percentile vs past year (weekly)</t>
        </is>
      </c>
      <c r="B13" s="19" t="n">
        <v>74</v>
      </c>
      <c r="E13" s="2" t="inlineStr">
        <is>
          <t>Flags: Divergence over 20 sessions: price down, crowd warming.; Concentrated stream: one author wrote 20% of recent posts.</t>
        </is>
      </c>
    </row>
    <row r="14">
      <c r="A14" s="4" t="inlineStr">
        <is>
          <t>Change over 5 sessions (pts)</t>
        </is>
      </c>
      <c r="B14" s="7" t="n">
        <v>-27</v>
      </c>
      <c r="E14" s="2" t="inlineStr">
        <is>
          <t>Notes: Pulse score 61 differs from last daily bucket 62 (2026-09-28).; Pulled before the 16:00 ET close: the pull-day price bar was dropped (unfinished session).</t>
        </is>
      </c>
    </row>
    <row r="15">
      <c r="A15" s="4" t="inlineStr">
        <is>
          <t>Price return, 5 sessions</t>
        </is>
      </c>
      <c r="B15" s="11" t="n">
        <v>-0.0535</v>
      </c>
    </row>
    <row r="16">
      <c r="A16" s="4" t="inlineStr">
        <is>
          <t>Price return, 20 sessions</t>
        </is>
      </c>
      <c r="B16" s="11" t="n">
        <v>-0.2528</v>
      </c>
    </row>
    <row r="17">
      <c r="A17" s="4" t="inlineStr">
        <is>
          <t>Price vs crowd, 20 sessions</t>
        </is>
      </c>
      <c r="B17" s="6" t="inlineStr">
        <is>
          <t>price down, crowd warming</t>
        </is>
      </c>
    </row>
    <row r="18">
      <c r="A18" s="4" t="inlineStr">
        <is>
          <t>Crowding flag</t>
        </is>
      </c>
      <c r="B18" s="6" t="inlineStr">
        <is>
          <t>none</t>
        </is>
      </c>
    </row>
    <row r="19">
      <c r="A19" s="4" t="inlineStr">
        <is>
          <t>Chatter spikes (volume &gt;= 75) in 3 months</t>
        </is>
      </c>
      <c r="B19" s="7" t="n">
        <v>2</v>
      </c>
    </row>
    <row r="20">
      <c r="A20" s="4" t="inlineStr">
        <is>
          <t>Recent posts sampled</t>
        </is>
      </c>
      <c r="B20" s="7" t="n">
        <v>30</v>
      </c>
    </row>
    <row r="21">
      <c r="A21" s="4" t="inlineStr">
        <is>
          <t>Unique authors</t>
        </is>
      </c>
      <c r="B21" s="7" t="n">
        <v>18</v>
      </c>
    </row>
    <row r="22">
      <c r="A22" s="4" t="inlineStr">
        <is>
          <t>Share of posts tagging 4+ tickers</t>
        </is>
      </c>
      <c r="B22" s="11" t="n">
        <v>0.067</v>
      </c>
    </row>
    <row r="23">
      <c r="A23" s="4" t="inlineStr">
        <is>
          <t>Top author's share of posts</t>
        </is>
      </c>
      <c r="B23" s="11" t="n">
        <v>0.2</v>
      </c>
    </row>
    <row r="24">
      <c r="A24" s="4" t="inlineStr">
        <is>
          <t>Share of posts with a Bullish/Bearish tag</t>
        </is>
      </c>
      <c r="B24" s="11" t="n">
        <v>0.333</v>
      </c>
    </row>
    <row r="26">
      <c r="A26" s="3" t="inlineStr">
        <is>
          <t>3-MONTH DAILY SERIES</t>
        </is>
      </c>
    </row>
    <row r="27">
      <c r="A27" s="12" t="inlineStr">
        <is>
          <t>Date</t>
        </is>
      </c>
      <c r="B27" s="12" t="inlineStr">
        <is>
          <t>Sentiment (0–100)</t>
        </is>
      </c>
      <c r="C27" s="12" t="inlineStr">
        <is>
          <t>Volume (0–100)</t>
        </is>
      </c>
      <c r="D27" s="12" t="inlineStr">
        <is>
          <t>Close ($)</t>
        </is>
      </c>
    </row>
    <row r="28">
      <c r="A28" s="6" t="inlineStr">
        <is>
          <t>2026-06-29</t>
        </is>
      </c>
      <c r="B28" s="7" t="n">
        <v>44</v>
      </c>
      <c r="C28" s="7" t="n">
        <v>50</v>
      </c>
      <c r="D28" s="5" t="n">
        <v>71.69</v>
      </c>
    </row>
    <row r="29">
      <c r="A29" s="6" t="inlineStr">
        <is>
          <t>2026-06-30</t>
        </is>
      </c>
      <c r="B29" s="7" t="n">
        <v>47</v>
      </c>
      <c r="C29" s="7" t="n">
        <v>49</v>
      </c>
      <c r="D29" s="5" t="n">
        <v>71.81</v>
      </c>
    </row>
    <row r="30">
      <c r="A30" s="6" t="inlineStr">
        <is>
          <t>2026-07-01</t>
        </is>
      </c>
      <c r="B30" s="7" t="n">
        <v>48</v>
      </c>
      <c r="C30" s="7" t="n">
        <v>49</v>
      </c>
      <c r="D30" s="5" t="n">
        <v>73.31</v>
      </c>
    </row>
    <row r="31">
      <c r="A31" s="6" t="inlineStr">
        <is>
          <t>2026-07-02</t>
        </is>
      </c>
      <c r="B31" s="7" t="n">
        <v>49</v>
      </c>
      <c r="C31" s="7" t="n">
        <v>49</v>
      </c>
      <c r="D31" s="5" t="n">
        <v>72.16</v>
      </c>
    </row>
    <row r="32">
      <c r="A32" s="6" t="inlineStr">
        <is>
          <t>2026-07-06</t>
        </is>
      </c>
      <c r="B32" s="7" t="n">
        <v>41</v>
      </c>
      <c r="C32" s="7" t="n">
        <v>38</v>
      </c>
      <c r="D32" s="5" t="n">
        <v>68.09</v>
      </c>
    </row>
    <row r="33">
      <c r="A33" s="6" t="inlineStr">
        <is>
          <t>2026-07-07</t>
        </is>
      </c>
      <c r="B33" s="7" t="n">
        <v>37</v>
      </c>
      <c r="C33" s="7" t="n">
        <v>40</v>
      </c>
      <c r="D33" s="5" t="n">
        <v>66.28</v>
      </c>
    </row>
    <row r="34">
      <c r="A34" s="6" t="inlineStr">
        <is>
          <t>2026-07-08</t>
        </is>
      </c>
      <c r="B34" s="7" t="n">
        <v>34</v>
      </c>
      <c r="C34" s="7" t="n">
        <v>41</v>
      </c>
      <c r="D34" s="5" t="n">
        <v>64.93000000000001</v>
      </c>
    </row>
    <row r="35">
      <c r="A35" s="6" t="inlineStr">
        <is>
          <t>2026-07-09</t>
        </is>
      </c>
      <c r="B35" s="7" t="n">
        <v>35</v>
      </c>
      <c r="C35" s="7" t="n">
        <v>40</v>
      </c>
      <c r="D35" s="5" t="n">
        <v>65.64</v>
      </c>
    </row>
    <row r="36">
      <c r="A36" s="6" t="inlineStr">
        <is>
          <t>2026-07-10</t>
        </is>
      </c>
      <c r="B36" s="7" t="n">
        <v>35</v>
      </c>
      <c r="C36" s="7" t="n">
        <v>38</v>
      </c>
      <c r="D36" s="5" t="n">
        <v>67.56</v>
      </c>
    </row>
    <row r="37">
      <c r="A37" s="6" t="inlineStr">
        <is>
          <t>2026-07-13</t>
        </is>
      </c>
      <c r="B37" s="7" t="n">
        <v>29</v>
      </c>
      <c r="C37" s="7" t="n">
        <v>38</v>
      </c>
      <c r="D37" s="5" t="n">
        <v>66.45999999999999</v>
      </c>
    </row>
    <row r="38">
      <c r="A38" s="6" t="inlineStr">
        <is>
          <t>2026-07-14</t>
        </is>
      </c>
      <c r="B38" s="7" t="n">
        <v>31</v>
      </c>
      <c r="C38" s="7" t="n">
        <v>35</v>
      </c>
      <c r="D38" s="5" t="n">
        <v>64.05</v>
      </c>
    </row>
    <row r="39">
      <c r="A39" s="6" t="inlineStr">
        <is>
          <t>2026-07-15</t>
        </is>
      </c>
      <c r="B39" s="7" t="n">
        <v>34</v>
      </c>
      <c r="C39" s="7" t="n">
        <v>33</v>
      </c>
      <c r="D39" s="5" t="n">
        <v>63.86</v>
      </c>
    </row>
    <row r="40">
      <c r="A40" s="6" t="inlineStr">
        <is>
          <t>2026-07-16</t>
        </is>
      </c>
      <c r="B40" s="7" t="n">
        <v>36</v>
      </c>
      <c r="C40" s="7" t="n">
        <v>34</v>
      </c>
      <c r="D40" s="5" t="n">
        <v>65.34999999999999</v>
      </c>
    </row>
    <row r="41">
      <c r="A41" s="6" t="inlineStr">
        <is>
          <t>2026-07-17</t>
        </is>
      </c>
      <c r="B41" s="7" t="n">
        <v>39</v>
      </c>
      <c r="C41" s="7" t="n">
        <v>37</v>
      </c>
      <c r="D41" s="5" t="n">
        <v>68.36</v>
      </c>
    </row>
    <row r="42">
      <c r="A42" s="6" t="inlineStr">
        <is>
          <t>2026-07-20</t>
        </is>
      </c>
      <c r="B42" s="7" t="n">
        <v>46</v>
      </c>
      <c r="C42" s="7" t="n">
        <v>48</v>
      </c>
      <c r="D42" s="5" t="n">
        <v>66.25</v>
      </c>
    </row>
    <row r="43">
      <c r="A43" s="6" t="inlineStr">
        <is>
          <t>2026-07-21</t>
        </is>
      </c>
      <c r="B43" s="7" t="n">
        <v>43</v>
      </c>
      <c r="C43" s="7" t="n">
        <v>48</v>
      </c>
      <c r="D43" s="5" t="n">
        <v>66.13</v>
      </c>
    </row>
    <row r="44">
      <c r="A44" s="6" t="inlineStr">
        <is>
          <t>2026-07-22</t>
        </is>
      </c>
      <c r="B44" s="7" t="n">
        <v>40</v>
      </c>
      <c r="C44" s="7" t="n">
        <v>49</v>
      </c>
      <c r="D44" s="5" t="n">
        <v>64.95</v>
      </c>
    </row>
    <row r="45">
      <c r="A45" s="6" t="inlineStr">
        <is>
          <t>2026-07-23</t>
        </is>
      </c>
      <c r="B45" s="7" t="n">
        <v>36</v>
      </c>
      <c r="C45" s="7" t="n">
        <v>50</v>
      </c>
      <c r="D45" s="5" t="n">
        <v>63.99</v>
      </c>
    </row>
    <row r="46">
      <c r="A46" s="6" t="inlineStr">
        <is>
          <t>2026-07-24</t>
        </is>
      </c>
      <c r="B46" s="7" t="n">
        <v>33</v>
      </c>
      <c r="C46" s="7" t="n">
        <v>48</v>
      </c>
      <c r="D46" s="5" t="n">
        <v>64</v>
      </c>
    </row>
    <row r="47">
      <c r="A47" s="6" t="inlineStr">
        <is>
          <t>2026-07-27</t>
        </is>
      </c>
      <c r="B47" s="7" t="n">
        <v>21</v>
      </c>
      <c r="C47" s="7" t="n">
        <v>46</v>
      </c>
      <c r="D47" s="5" t="n">
        <v>65.7</v>
      </c>
    </row>
    <row r="48">
      <c r="A48" s="6" t="inlineStr">
        <is>
          <t>2026-07-28</t>
        </is>
      </c>
      <c r="B48" s="7" t="n">
        <v>24</v>
      </c>
      <c r="C48" s="7" t="n">
        <v>46</v>
      </c>
      <c r="D48" s="5" t="n">
        <v>64.67</v>
      </c>
    </row>
    <row r="49">
      <c r="A49" s="6" t="inlineStr">
        <is>
          <t>2026-07-29</t>
        </is>
      </c>
      <c r="B49" s="7" t="n">
        <v>25</v>
      </c>
      <c r="C49" s="7" t="n">
        <v>45</v>
      </c>
      <c r="D49" s="5" t="n">
        <v>64.61</v>
      </c>
    </row>
    <row r="50">
      <c r="A50" s="6" t="inlineStr">
        <is>
          <t>2026-07-30</t>
        </is>
      </c>
      <c r="B50" s="7" t="n">
        <v>25</v>
      </c>
      <c r="C50" s="7" t="n">
        <v>46</v>
      </c>
      <c r="D50" s="5" t="n">
        <v>65.43000000000001</v>
      </c>
    </row>
    <row r="51">
      <c r="A51" s="6" t="inlineStr">
        <is>
          <t>2026-07-31</t>
        </is>
      </c>
      <c r="B51" s="7" t="n">
        <v>37</v>
      </c>
      <c r="C51" s="7" t="n">
        <v>48</v>
      </c>
      <c r="D51" s="5" t="n">
        <v>65.83</v>
      </c>
    </row>
    <row r="52">
      <c r="A52" s="6" t="inlineStr">
        <is>
          <t>2026-08-03</t>
        </is>
      </c>
      <c r="B52" s="7" t="n">
        <v>33</v>
      </c>
      <c r="C52" s="7" t="n">
        <v>40</v>
      </c>
      <c r="D52" s="5" t="n">
        <v>64.98</v>
      </c>
    </row>
    <row r="53">
      <c r="A53" s="6" t="inlineStr">
        <is>
          <t>2026-08-04</t>
        </is>
      </c>
      <c r="B53" s="7" t="n">
        <v>39</v>
      </c>
      <c r="C53" s="7" t="n">
        <v>41</v>
      </c>
      <c r="D53" s="5" t="n">
        <v>64.11</v>
      </c>
    </row>
    <row r="54">
      <c r="A54" s="6" t="inlineStr">
        <is>
          <t>2026-08-05</t>
        </is>
      </c>
      <c r="B54" s="7" t="n">
        <v>55</v>
      </c>
      <c r="C54" s="7" t="n">
        <v>48</v>
      </c>
      <c r="D54" s="5" t="n">
        <v>65.67</v>
      </c>
    </row>
    <row r="55">
      <c r="A55" s="6" t="inlineStr">
        <is>
          <t>2026-08-06</t>
        </is>
      </c>
      <c r="B55" s="7" t="n">
        <v>89</v>
      </c>
      <c r="C55" s="7" t="n">
        <v>85</v>
      </c>
      <c r="D55" s="5" t="n">
        <v>53.33</v>
      </c>
    </row>
    <row r="56">
      <c r="A56" s="6" t="inlineStr">
        <is>
          <t>2026-08-07</t>
        </is>
      </c>
      <c r="B56" s="7" t="n">
        <v>84</v>
      </c>
      <c r="C56" s="7" t="n">
        <v>89</v>
      </c>
      <c r="D56" s="5" t="n">
        <v>53.01</v>
      </c>
    </row>
    <row r="57">
      <c r="A57" s="6" t="inlineStr">
        <is>
          <t>2026-08-10</t>
        </is>
      </c>
      <c r="B57" s="7" t="n">
        <v>88</v>
      </c>
      <c r="C57" s="7" t="n">
        <v>88</v>
      </c>
      <c r="D57" s="5" t="n">
        <v>51.29</v>
      </c>
    </row>
    <row r="58">
      <c r="A58" s="6" t="inlineStr">
        <is>
          <t>2026-08-11</t>
        </is>
      </c>
      <c r="B58" s="7" t="n">
        <v>88</v>
      </c>
      <c r="C58" s="7" t="n">
        <v>88</v>
      </c>
      <c r="D58" s="5" t="n">
        <v>49.57</v>
      </c>
    </row>
    <row r="59">
      <c r="A59" s="6" t="inlineStr">
        <is>
          <t>2026-08-12</t>
        </is>
      </c>
      <c r="B59" s="7" t="n">
        <v>87</v>
      </c>
      <c r="C59" s="7" t="n">
        <v>87</v>
      </c>
      <c r="D59" s="5" t="n">
        <v>51.02</v>
      </c>
    </row>
    <row r="60">
      <c r="A60" s="6" t="inlineStr">
        <is>
          <t>2026-08-13</t>
        </is>
      </c>
      <c r="B60" s="7" t="n">
        <v>76</v>
      </c>
      <c r="C60" s="7" t="n">
        <v>75</v>
      </c>
      <c r="D60" s="5" t="n">
        <v>51.13</v>
      </c>
    </row>
    <row r="61">
      <c r="A61" s="6" t="inlineStr">
        <is>
          <t>2026-08-14</t>
        </is>
      </c>
      <c r="B61" s="7" t="n">
        <v>74</v>
      </c>
      <c r="C61" s="7" t="n">
        <v>63</v>
      </c>
      <c r="D61" s="5" t="n">
        <v>52.02</v>
      </c>
    </row>
    <row r="62">
      <c r="A62" s="6" t="inlineStr">
        <is>
          <t>2026-08-17</t>
        </is>
      </c>
      <c r="B62" s="7" t="n">
        <v>67</v>
      </c>
      <c r="C62" s="7" t="n">
        <v>53</v>
      </c>
      <c r="D62" s="5" t="n">
        <v>50.42</v>
      </c>
    </row>
    <row r="63">
      <c r="A63" s="6" t="inlineStr">
        <is>
          <t>2026-08-18</t>
        </is>
      </c>
      <c r="B63" s="7" t="n">
        <v>60</v>
      </c>
      <c r="C63" s="7" t="n">
        <v>47</v>
      </c>
      <c r="D63" s="5" t="n">
        <v>48.44</v>
      </c>
    </row>
    <row r="64">
      <c r="A64" s="6" t="inlineStr">
        <is>
          <t>2026-08-19</t>
        </is>
      </c>
      <c r="B64" s="7" t="n">
        <v>54</v>
      </c>
      <c r="C64" s="7" t="n">
        <v>42</v>
      </c>
      <c r="D64" s="5" t="n">
        <v>50.27</v>
      </c>
    </row>
    <row r="65">
      <c r="A65" s="6" t="inlineStr">
        <is>
          <t>2026-08-20</t>
        </is>
      </c>
      <c r="B65" s="7" t="n">
        <v>52</v>
      </c>
      <c r="C65" s="7" t="n">
        <v>41</v>
      </c>
      <c r="D65" s="5" t="n">
        <v>49.37</v>
      </c>
    </row>
    <row r="66">
      <c r="A66" s="6" t="inlineStr">
        <is>
          <t>2026-08-21</t>
        </is>
      </c>
      <c r="B66" s="7" t="n">
        <v>50</v>
      </c>
      <c r="C66" s="7" t="n">
        <v>40</v>
      </c>
      <c r="D66" s="5" t="n">
        <v>49.87</v>
      </c>
    </row>
    <row r="67">
      <c r="A67" s="6" t="inlineStr">
        <is>
          <t>2026-08-24</t>
        </is>
      </c>
      <c r="B67" s="7" t="n">
        <v>48</v>
      </c>
      <c r="C67" s="7" t="n">
        <v>39</v>
      </c>
      <c r="D67" s="5" t="n">
        <v>51.95</v>
      </c>
    </row>
    <row r="68">
      <c r="A68" s="6" t="inlineStr">
        <is>
          <t>2026-08-25</t>
        </is>
      </c>
      <c r="B68" s="7" t="n">
        <v>43</v>
      </c>
      <c r="C68" s="7" t="n">
        <v>39</v>
      </c>
      <c r="D68" s="5" t="n">
        <v>51.08</v>
      </c>
    </row>
    <row r="69">
      <c r="A69" s="6" t="inlineStr">
        <is>
          <t>2026-08-26</t>
        </is>
      </c>
      <c r="B69" s="7" t="n">
        <v>42</v>
      </c>
      <c r="C69" s="7" t="n">
        <v>36</v>
      </c>
      <c r="D69" s="5" t="n">
        <v>51.23</v>
      </c>
    </row>
    <row r="70">
      <c r="A70" s="6" t="inlineStr">
        <is>
          <t>2026-08-27</t>
        </is>
      </c>
      <c r="B70" s="7" t="n">
        <v>40</v>
      </c>
      <c r="C70" s="7" t="n">
        <v>33</v>
      </c>
      <c r="D70" s="5" t="n">
        <v>50.71</v>
      </c>
    </row>
    <row r="71">
      <c r="A71" s="6" t="inlineStr">
        <is>
          <t>2026-08-28</t>
        </is>
      </c>
      <c r="B71" s="7" t="n">
        <v>40</v>
      </c>
      <c r="C71" s="7" t="n">
        <v>31</v>
      </c>
      <c r="D71" s="5" t="n">
        <v>49.91</v>
      </c>
    </row>
    <row r="72">
      <c r="A72" s="6" t="inlineStr">
        <is>
          <t>2026-08-31</t>
        </is>
      </c>
      <c r="B72" s="7" t="n">
        <v>36</v>
      </c>
      <c r="C72" s="7" t="n">
        <v>28</v>
      </c>
      <c r="D72" s="5" t="n">
        <v>48.86</v>
      </c>
    </row>
    <row r="73">
      <c r="A73" s="6" t="inlineStr">
        <is>
          <t>2026-09-01</t>
        </is>
      </c>
      <c r="B73" s="7" t="n">
        <v>43</v>
      </c>
      <c r="C73" s="7" t="n">
        <v>30</v>
      </c>
      <c r="D73" s="5" t="n">
        <v>46.31</v>
      </c>
    </row>
    <row r="74">
      <c r="A74" s="6" t="inlineStr">
        <is>
          <t>2026-09-02</t>
        </is>
      </c>
      <c r="B74" s="7" t="n">
        <v>44</v>
      </c>
      <c r="C74" s="7" t="n">
        <v>33</v>
      </c>
      <c r="D74" s="5" t="n">
        <v>48.13</v>
      </c>
    </row>
    <row r="75">
      <c r="A75" s="6" t="inlineStr">
        <is>
          <t>2026-09-03</t>
        </is>
      </c>
      <c r="B75" s="7" t="n">
        <v>48</v>
      </c>
      <c r="C75" s="7" t="n">
        <v>36</v>
      </c>
      <c r="D75" s="5" t="n">
        <v>46.24</v>
      </c>
    </row>
    <row r="76">
      <c r="A76" s="6" t="inlineStr">
        <is>
          <t>2026-09-04</t>
        </is>
      </c>
      <c r="B76" s="7" t="n">
        <v>47</v>
      </c>
      <c r="C76" s="7" t="n">
        <v>38</v>
      </c>
      <c r="D76" s="5" t="n">
        <v>46.58</v>
      </c>
    </row>
    <row r="77">
      <c r="A77" s="6" t="inlineStr">
        <is>
          <t>2026-09-08</t>
        </is>
      </c>
      <c r="B77" s="7" t="n">
        <v>36</v>
      </c>
      <c r="C77" s="7" t="n">
        <v>40</v>
      </c>
      <c r="D77" s="5" t="n">
        <v>45.88</v>
      </c>
    </row>
    <row r="78">
      <c r="A78" s="6" t="inlineStr">
        <is>
          <t>2026-09-09</t>
        </is>
      </c>
      <c r="B78" s="7" t="n">
        <v>32</v>
      </c>
      <c r="C78" s="7" t="n">
        <v>41</v>
      </c>
      <c r="D78" s="5" t="n">
        <v>44.96</v>
      </c>
    </row>
    <row r="79">
      <c r="A79" s="6" t="inlineStr">
        <is>
          <t>2026-09-10</t>
        </is>
      </c>
      <c r="B79" s="7" t="n">
        <v>45</v>
      </c>
      <c r="C79" s="7" t="n">
        <v>51</v>
      </c>
      <c r="D79" s="5" t="n">
        <v>43.44</v>
      </c>
    </row>
    <row r="80">
      <c r="A80" s="6" t="inlineStr">
        <is>
          <t>2026-09-11</t>
        </is>
      </c>
      <c r="B80" s="7" t="n">
        <v>49</v>
      </c>
      <c r="C80" s="7" t="n">
        <v>53</v>
      </c>
      <c r="D80" s="5" t="n">
        <v>43.9</v>
      </c>
    </row>
    <row r="81">
      <c r="A81" s="6" t="inlineStr">
        <is>
          <t>2026-09-14</t>
        </is>
      </c>
      <c r="B81" s="7" t="n">
        <v>50</v>
      </c>
      <c r="C81" s="7" t="n">
        <v>55</v>
      </c>
      <c r="D81" s="5" t="n">
        <v>44.05</v>
      </c>
    </row>
    <row r="82">
      <c r="A82" s="6" t="inlineStr">
        <is>
          <t>2026-09-15</t>
        </is>
      </c>
      <c r="B82" s="7" t="n">
        <v>63</v>
      </c>
      <c r="C82" s="7" t="n">
        <v>61</v>
      </c>
      <c r="D82" s="5" t="n">
        <v>41.98</v>
      </c>
    </row>
    <row r="83">
      <c r="A83" s="6" t="inlineStr">
        <is>
          <t>2026-09-16</t>
        </is>
      </c>
      <c r="B83" s="7" t="n">
        <v>71</v>
      </c>
      <c r="C83" s="7" t="n">
        <v>65</v>
      </c>
      <c r="D83" s="5" t="n">
        <v>41.37</v>
      </c>
    </row>
    <row r="84">
      <c r="A84" s="6" t="inlineStr">
        <is>
          <t>2026-09-17</t>
        </is>
      </c>
      <c r="B84" s="7" t="n">
        <v>67</v>
      </c>
      <c r="C84" s="7" t="n">
        <v>61</v>
      </c>
      <c r="D84" s="5" t="n">
        <v>40.16</v>
      </c>
    </row>
    <row r="85">
      <c r="A85" s="6" t="inlineStr">
        <is>
          <t>2026-09-18</t>
        </is>
      </c>
      <c r="B85" s="7" t="n">
        <v>85</v>
      </c>
      <c r="C85" s="7" t="n">
        <v>81</v>
      </c>
      <c r="D85" s="5" t="n">
        <v>40.03</v>
      </c>
    </row>
    <row r="86">
      <c r="A86" s="6" t="inlineStr">
        <is>
          <t>2026-09-21</t>
        </is>
      </c>
      <c r="B86" s="7" t="n">
        <v>89</v>
      </c>
      <c r="C86" s="7" t="n">
        <v>81</v>
      </c>
      <c r="D86" s="5" t="n">
        <v>39.15</v>
      </c>
    </row>
    <row r="87">
      <c r="A87" s="6" t="inlineStr">
        <is>
          <t>2026-09-22</t>
        </is>
      </c>
      <c r="B87" s="7" t="n">
        <v>85</v>
      </c>
      <c r="C87" s="7" t="n">
        <v>80</v>
      </c>
      <c r="D87" s="5" t="n">
        <v>38.76</v>
      </c>
    </row>
    <row r="88">
      <c r="A88" s="6" t="inlineStr">
        <is>
          <t>2026-09-23</t>
        </is>
      </c>
      <c r="B88" s="7" t="n">
        <v>85</v>
      </c>
      <c r="C88" s="7" t="n">
        <v>80</v>
      </c>
      <c r="D88" s="5" t="n">
        <v>38.43</v>
      </c>
    </row>
    <row r="89">
      <c r="A89" s="6" t="inlineStr">
        <is>
          <t>2026-09-24</t>
        </is>
      </c>
      <c r="B89" s="7" t="n">
        <v>83</v>
      </c>
      <c r="C89" s="7" t="n">
        <v>79</v>
      </c>
      <c r="D89" s="5" t="n">
        <v>38.51</v>
      </c>
    </row>
    <row r="90">
      <c r="A90" s="6" t="inlineStr">
        <is>
          <t>2026-09-25</t>
        </is>
      </c>
      <c r="B90" s="7" t="n">
        <v>62</v>
      </c>
      <c r="C90" s="7" t="n">
        <v>54</v>
      </c>
      <c r="D90" s="5" t="n">
        <v>37.89</v>
      </c>
    </row>
    <row r="91">
      <c r="A91" s="6" t="inlineStr">
        <is>
          <t>2026-09-28</t>
        </is>
      </c>
      <c r="B91" s="7" t="n">
        <v>62</v>
      </c>
      <c r="C91" s="7" t="n">
        <v>54</v>
      </c>
      <c r="D91" s="5" t="n">
        <v>38.07</v>
      </c>
    </row>
  </sheetData>
  <mergeCells count="4">
    <mergeCell ref="A26:D26"/>
    <mergeCell ref="A1:E1"/>
    <mergeCell ref="A12:B12"/>
    <mergeCell ref="A5:B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2026-09-28T14:39:50Z</dcterms:created>
  <dcterms:modified xmlns:dcterms="http://purl.org/dc/terms/" xmlns:xsi="http://www.w3.org/2001/XMLSchema-instance" xsi:type="dcterms:W3CDTF">2026-09-28T14:39:50Z</dcterms:modified>
</cp:coreProperties>
</file>