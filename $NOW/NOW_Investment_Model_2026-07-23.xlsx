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NOW_Model" sheetId="2" state="visible" r:id="rId4"/>
    <sheet name="Rule_of_40" sheetId="3" state="visible" r:id="rId5"/>
    <sheet name="Options_Strate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Arial"/>
            <family val="2"/>
          </rPr>
          <t xml:space="preserve">Single-WACC rule: one rate across bull/base/bear (per methodology). Growth SaaS 20-50% band.</t>
        </r>
      </text>
    </comment>
    <comment ref="B18" authorId="0">
      <text>
        <r>
          <rPr>
            <sz val="10"/>
            <rFont val="Arial"/>
            <family val="2"/>
          </rPr>
          <t xml:space="preserve">Sub rev guide midpoint ~$15,770M + professional services ~$430M.</t>
        </r>
      </text>
    </comment>
    <comment ref="B19" authorId="0">
      <text>
        <r>
          <rPr>
            <sz val="10"/>
            <rFont val="Arial"/>
            <family val="2"/>
          </rPr>
          <t xml:space="preserve">NET DEBT after May-2026 debt raise + Moveworks/Veza/Armis close. Cash+investments ~$6,707M less total debt ~$7,517M.</t>
        </r>
      </text>
    </comment>
    <comment ref="B20" authorId="0">
      <text>
        <r>
          <rPr>
            <sz val="10"/>
            <rFont val="Arial"/>
            <family val="2"/>
          </rPr>
          <t xml:space="preserve">Weighted diluted, post 5-for-1 split (Dec 17 2025).</t>
        </r>
      </text>
    </comment>
    <comment ref="B21" authorId="0">
      <text>
        <r>
          <rPr>
            <sz val="10"/>
            <rFont val="Arial"/>
            <family val="2"/>
          </rPr>
          <t xml:space="preserve">Post-earnings reference: 7/22 close $95.46; after-hours ~$99.90.</t>
        </r>
      </text>
    </comment>
    <comment ref="D5" authorId="0">
      <text>
        <r>
          <rPr>
            <sz val="10"/>
            <rFont val="Arial"/>
            <family val="2"/>
          </rPr>
          <t xml:space="preserve">ServiceNow Q2 2026 earnings release (8-K Ex-99.1, 2026-07-22). SEC EDGAR accession 0001373715-26-000072.</t>
        </r>
      </text>
    </comment>
    <comment ref="D12" authorId="0">
      <text>
        <r>
          <rPr>
            <sz val="10"/>
            <rFont val="Arial"/>
            <family val="2"/>
          </rPr>
          <t xml:space="preserve">Q2 FCF seasonally low; $634M / 16% margin. FY guide FCF margin 35%.</t>
        </r>
      </text>
    </comment>
  </commentList>
</comments>
</file>

<file path=xl/sharedStrings.xml><?xml version="1.0" encoding="utf-8"?>
<sst xmlns="http://schemas.openxmlformats.org/spreadsheetml/2006/main" count="213" uniqueCount="160">
  <si>
    <t xml:space="preserve">SERVICENOW (NOW) — DASHBOARD  |  Q2 2026 Refresh vs. June 5, 2026</t>
  </si>
  <si>
    <t xml:space="preserve">Rating: BUY / ACCUMULATE (reaffirmed, higher conviction)  •  Vehicle: Long equity + cash-secured puts</t>
  </si>
  <si>
    <t xml:space="preserve">VALUATION SNAPSHOT — DCF (single WACC 11%)</t>
  </si>
  <si>
    <t xml:space="preserve">Scenario</t>
  </si>
  <si>
    <t xml:space="preserve">Intrinsic / Share</t>
  </si>
  <si>
    <t xml:space="preserve">vs Current</t>
  </si>
  <si>
    <t xml:space="preserve">Jun-5 Intrinsic</t>
  </si>
  <si>
    <t xml:space="preserve">Driver</t>
  </si>
  <si>
    <t xml:space="preserve">🐂 Bull</t>
  </si>
  <si>
    <t xml:space="preserve">Growth reaccel + AI ACV &gt;$1.5B; margin recovery to 42-44%</t>
  </si>
  <si>
    <t xml:space="preserve">⚖️ Base</t>
  </si>
  <si>
    <t xml:space="preserve">Guide holds; FCF normalizes to ~40%; cRPO ~20%</t>
  </si>
  <si>
    <t xml:space="preserve">🐻 Bear</t>
  </si>
  <si>
    <t xml:space="preserve">Growth to low-teens; MSFT/CRM pressure; margins stall</t>
  </si>
  <si>
    <t xml:space="preserve">KEY METRICS — NOW vs. JUNE</t>
  </si>
  <si>
    <t xml:space="preserve">Metric</t>
  </si>
  <si>
    <t xml:space="preserve">Q2 2026</t>
  </si>
  <si>
    <t xml:space="preserve">Q1 2026 (Jun memo)</t>
  </si>
  <si>
    <t xml:space="preserve">Change</t>
  </si>
  <si>
    <t xml:space="preserve">Reference Price ($)</t>
  </si>
  <si>
    <t xml:space="preserve">▼ ~16% cheaper</t>
  </si>
  <si>
    <t xml:space="preserve">Total Revenue ($M, qtr)</t>
  </si>
  <si>
    <t xml:space="preserve">▲ +$217M</t>
  </si>
  <si>
    <t xml:space="preserve">Total Rev Growth YoY</t>
  </si>
  <si>
    <t xml:space="preserve">▲ +2 pts</t>
  </si>
  <si>
    <t xml:space="preserve">cRPO ($M)</t>
  </si>
  <si>
    <t xml:space="preserve">▲ +$560M</t>
  </si>
  <si>
    <t xml:space="preserve">cRPO Growth YoY</t>
  </si>
  <si>
    <t xml:space="preserve">▼ -1.5 pts</t>
  </si>
  <si>
    <t xml:space="preserve">Non-GAAP Op Margin</t>
  </si>
  <si>
    <t xml:space="preserve">▼ -2.5 pts (deal costs)</t>
  </si>
  <si>
    <t xml:space="preserve">Net Cash / (Net Debt) ($M)</t>
  </si>
  <si>
    <t xml:space="preserve">▼ to net debt</t>
  </si>
  <si>
    <t xml:space="preserve">ServiceNow AI ACV</t>
  </si>
  <si>
    <t xml:space="preserve">$1.0B+</t>
  </si>
  <si>
    <t xml:space="preserve">~$1B target</t>
  </si>
  <si>
    <t xml:space="preserve">▲ crossed $1B</t>
  </si>
  <si>
    <t xml:space="preserve">Rule of 40 (FY, growth+FCF)</t>
  </si>
  <si>
    <t xml:space="preserve">→ ~57 (Rule of 56)</t>
  </si>
  <si>
    <t xml:space="preserve">TECHNICAL LEVELS</t>
  </si>
  <si>
    <t xml:space="preserve">Reference Price</t>
  </si>
  <si>
    <t xml:space="preserve">~$100 (post-print; 7/22 close $95.46)</t>
  </si>
  <si>
    <t xml:space="preserve">52-Week Range</t>
  </si>
  <si>
    <t xml:space="preserve">$81.24 – $210.20</t>
  </si>
  <si>
    <t xml:space="preserve">50-Day SMA</t>
  </si>
  <si>
    <t xml:space="preserve">~$104</t>
  </si>
  <si>
    <t xml:space="preserve">200-Day SMA</t>
  </si>
  <si>
    <t xml:space="preserve">~$128 (≈ base-case DCF)</t>
  </si>
  <si>
    <t xml:space="preserve">Support</t>
  </si>
  <si>
    <t xml:space="preserve">$95 / $88 / $81 (52-wk low)</t>
  </si>
  <si>
    <t xml:space="preserve">Resistance</t>
  </si>
  <si>
    <t xml:space="preserve">$104 / $110 / $120 / $128</t>
  </si>
  <si>
    <t xml:space="preserve">SERVICENOW (NOW) — Investment Model  |  Q2 2026 Refresh  |  2026-07-23</t>
  </si>
  <si>
    <t xml:space="preserve">SECTION A — HISTORICAL &amp; LATEST QUARTER</t>
  </si>
  <si>
    <t xml:space="preserve">FY2025</t>
  </si>
  <si>
    <t xml:space="preserve">Q1 2026</t>
  </si>
  <si>
    <t xml:space="preserve">YoY</t>
  </si>
  <si>
    <t xml:space="preserve">Subscription Revenue ($M)</t>
  </si>
  <si>
    <t xml:space="preserve">Total Revenue ($M)</t>
  </si>
  <si>
    <t xml:space="preserve">Total Revenue YoY Growth</t>
  </si>
  <si>
    <t xml:space="preserve">Subscription Rev YoY Growth</t>
  </si>
  <si>
    <t xml:space="preserve">Non-GAAP Sub Gross Margin</t>
  </si>
  <si>
    <t xml:space="preserve">Non-GAAP Operating Margin</t>
  </si>
  <si>
    <t xml:space="preserve">Non-GAAP FCF Margin (qtr)</t>
  </si>
  <si>
    <t xml:space="preserve">Total RPO ($M)</t>
  </si>
  <si>
    <t xml:space="preserve">Non-GAAP Diluted EPS ($)</t>
  </si>
  <si>
    <t xml:space="preserve">SECTION B — DCF INPUTS (shared across all scenarios)</t>
  </si>
  <si>
    <t xml:space="preserve">WACC — SINGLE discount rate (all scenarios)</t>
  </si>
  <si>
    <t xml:space="preserve">FY2026 Total Revenue base ($M)</t>
  </si>
  <si>
    <t xml:space="preserve">Diluted Shares Outstanding (M)</t>
  </si>
  <si>
    <t xml:space="preserve">Current / Reference Price ($)</t>
  </si>
  <si>
    <t xml:space="preserve">🐂 BULL SCENARIO — Projections &amp; DCF</t>
  </si>
  <si>
    <t xml:space="preserve">Line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</si>
  <si>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</si>
  <si>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</si>
  <si>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</si>
  <si>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</si>
  <si>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</si>
  <si>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Rev Growth (from FY2026 guide base)</t>
  </si>
  <si>
    <t xml:space="preserve">—</t>
  </si>
  <si>
    <t xml:space="preserve">Revenue ($M)</t>
  </si>
  <si>
    <t xml:space="preserve">FCF Margin</t>
  </si>
  <si>
    <t xml:space="preserve">Free Cash Flow ($M)</t>
  </si>
  <si>
    <t xml:space="preserve">PV of FCF ($M)</t>
  </si>
  <si>
    <t xml:space="preserve">Terminal Growth</t>
  </si>
  <si>
    <t xml:space="preserve">Terminal FCF Margin</t>
  </si>
  <si>
    <t xml:space="preserve">Sum PV of FCF (Yr1-5) ($M)</t>
  </si>
  <si>
    <t xml:space="preserve">Terminal-Year FCF ($M)</t>
  </si>
  <si>
    <t xml:space="preserve">Terminal Value (Gordon) ($M)</t>
  </si>
  <si>
    <t xml:space="preserve">PV of Terminal Value ($M)</t>
  </si>
  <si>
    <t xml:space="preserve">Enterprise Value ($M)</t>
  </si>
  <si>
    <t xml:space="preserve">Equity Value ($M) [EV + Net Cash]</t>
  </si>
  <si>
    <t xml:space="preserve">INTRINSIC VALUE / SHARE ($)</t>
  </si>
  <si>
    <t xml:space="preserve">Upside/(Downside) vs Current</t>
  </si>
  <si>
    <t xml:space="preserve">⚖️ BASE SCENARIO — Projections &amp; DCF</t>
  </si>
  <si>
    <t xml:space="preserve">🐻 BEAR SCENARIO — Projections &amp; DCF</t>
  </si>
  <si>
    <t xml:space="preserve">RULE OF 40 &amp; PEER COMPS — NOW Q2 2026</t>
  </si>
  <si>
    <t xml:space="preserve">RULE OF 40 SCORECARD</t>
  </si>
  <si>
    <t xml:space="preserve">Basis</t>
  </si>
  <si>
    <t xml:space="preserve">Rev Growth</t>
  </si>
  <si>
    <t xml:space="preserve">Profitability</t>
  </si>
  <si>
    <t xml:space="preserve">Rule of 40</t>
  </si>
  <si>
    <t xml:space="preserve">Read</t>
  </si>
  <si>
    <t xml:space="preserve">FY2026 (sub growth + FCF margin)</t>
  </si>
  <si>
    <t xml:space="preserve">Healthy — 'Rule of 56'</t>
  </si>
  <si>
    <t xml:space="preserve">Q2 2026 (rev growth + non-GAAP op)</t>
  </si>
  <si>
    <t xml:space="preserve">Strong (53-54)</t>
  </si>
  <si>
    <t xml:space="preserve">Q2 2026 (rev growth + FCF, qtr)</t>
  </si>
  <si>
    <t xml:space="preserve">Seasonal FCF trough — ignore qtr</t>
  </si>
  <si>
    <t xml:space="preserve">Benchmark: &gt;40 healthy · &gt;60 exceptional. NOW FY basis ~57 with FCF margin at its M&amp;A-integration trough (35%); normalization toward 40% margin =&gt; Rule ~62.</t>
  </si>
  <si>
    <t xml:space="preserve">PEER COMPARABLES (approximate, forward)</t>
  </si>
  <si>
    <t xml:space="preserve">Ticker</t>
  </si>
  <si>
    <t xml:space="preserve">EV/Sales</t>
  </si>
  <si>
    <t xml:space="preserve">EV/FCF</t>
  </si>
  <si>
    <t xml:space="preserve">NOW</t>
  </si>
  <si>
    <t xml:space="preserve">PLTR</t>
  </si>
  <si>
    <t xml:space="preserve">CRM</t>
  </si>
  <si>
    <t xml:space="preserve">SNOW</t>
  </si>
  <si>
    <t xml:space="preserve">DDOG</t>
  </si>
  <si>
    <t xml:space="preserve">CRWD</t>
  </si>
  <si>
    <t xml:space="preserve">WDAY</t>
  </si>
  <si>
    <t xml:space="preserve">NOW ~7.5x fwd EV/Sales is the cheapest high-quality SaaS name on a Rule-of-40-adjusted basis. Re-rate to 10x =&gt; ~$150/sh.</t>
  </si>
  <si>
    <t xml:space="preserve">OPTIONS STRATEGY — NOW (post Q2 2026)</t>
  </si>
  <si>
    <t xml:space="preserve">Setup: stock ~$100, base-case DCF ~$128 (28% below intrinsic), only ~7% above bear. Options implied ~6-12% earnings move already realized.</t>
  </si>
  <si>
    <t xml:space="preserve">MARKET REFERENCE</t>
  </si>
  <si>
    <t xml:space="preserve">~$100</t>
  </si>
  <si>
    <t xml:space="preserve">Base-case DCF</t>
  </si>
  <si>
    <t xml:space="preserve">~$128 (+28%)</t>
  </si>
  <si>
    <t xml:space="preserve">Bull / Bear DCF</t>
  </si>
  <si>
    <t xml:space="preserve">~$156 / ~$93</t>
  </si>
  <si>
    <t xml:space="preserve">52-wk Range</t>
  </si>
  <si>
    <t xml:space="preserve">Post-earnings IV</t>
  </si>
  <si>
    <t xml:space="preserve">Elevated into print; expect crush</t>
  </si>
  <si>
    <t xml:space="preserve">RECOMMENDED STRATEGIES</t>
  </si>
  <si>
    <t xml:space="preserve">Strategy</t>
  </si>
  <si>
    <t xml:space="preserve">Structure</t>
  </si>
  <si>
    <t xml:space="preserve">Net Prem / Cost</t>
  </si>
  <si>
    <t xml:space="preserve">Max Gain / Loss</t>
  </si>
  <si>
    <t xml:space="preserve">Rationale</t>
  </si>
  <si>
    <t xml:space="preserve">Cash-secured put (build)</t>
  </si>
  <si>
    <t xml:space="preserve">Sell $90 put, 8-10 wks</t>
  </si>
  <si>
    <t xml:space="preserve">+$4–6 credit</t>
  </si>
  <si>
    <t xml:space="preserve">Assign @ ~$85 basis</t>
  </si>
  <si>
    <t xml:space="preserve">Enter ~11% below bear DCF; premium into post-earn IV</t>
  </si>
  <si>
    <t xml:space="preserve">Long call spread</t>
  </si>
  <si>
    <t xml:space="preserve">Buy $100 / sell $130 (Jan-27)</t>
  </si>
  <si>
    <t xml:space="preserve">~$10–12 debit</t>
  </si>
  <si>
    <t xml:space="preserve">+$18 / −$12</t>
  </si>
  <si>
    <t xml:space="preserve">Profitable before base DCF ($128); defined risk</t>
  </si>
  <si>
    <t xml:space="preserve">Covered call (holders)</t>
  </si>
  <si>
    <t xml:space="preserve">Sell $120 call, 6-8 wks</t>
  </si>
  <si>
    <t xml:space="preserve">+$3–5 credit</t>
  </si>
  <si>
    <t xml:space="preserve">Caps at $120</t>
  </si>
  <si>
    <t xml:space="preserve">Income while below intrinsic; roll up if breached</t>
  </si>
  <si>
    <t xml:space="preserve">LEAP call (conviction)</t>
  </si>
  <si>
    <t xml:space="preserve">Buy Jan-28 $110 call</t>
  </si>
  <si>
    <t xml:space="preserve">~$18–22 debit</t>
  </si>
  <si>
    <t xml:space="preserve">3–5x if $150+</t>
  </si>
  <si>
    <t xml:space="preserve">19-mo runway on the recovery thesis</t>
  </si>
  <si>
    <t xml:space="preserve">Per-cycle yield (not annualized). Size so a bear-case $93 outcome stays within portfolio risk limits.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</si>
</sst>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0.0%"/>
    <numFmt numFmtId="167" formatCode="\$#,##0;&quot;($&quot;#,##0\);\-"/>
    <numFmt numFmtId="168" formatCode="#,##0"/>
    <numFmt numFmtId="169" formatCode="@"/>
    <numFmt numFmtId="170" formatCode="0"/>
    <numFmt numFmtId="171" formatCode="0.0\x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Inter"/>
      <family val="0"/>
      <charset val="1"/>
    </font>
    <font>
      <b val="true"/>
      <sz val="11"/>
      <color rgb="FF2C7A6B"/>
      <name val="Inter"/>
      <family val="0"/>
      <charset val="1"/>
    </font>
    <font>
      <b val="true"/>
      <sz val="11"/>
      <color rgb="FFFFFFFF"/>
      <name val="Inter"/>
      <family val="0"/>
      <charset val="1"/>
    </font>
    <font>
      <b val="true"/>
      <sz val="10"/>
      <color rgb="FF000000"/>
      <name val="Inter"/>
      <family val="0"/>
      <charset val="1"/>
    </font>
    <font>
      <b val="true"/>
      <sz val="10"/>
      <color rgb="FF008000"/>
      <name val="IBM Plex Mono"/>
      <family val="0"/>
      <charset val="1"/>
    </font>
    <font>
      <sz val="10"/>
      <color rgb="FF0000FF"/>
      <name val="IBM Plex Mono"/>
      <family val="0"/>
      <charset val="1"/>
    </font>
    <font>
      <sz val="9"/>
      <color rgb="FF000000"/>
      <name val="Inter"/>
      <family val="0"/>
      <charset val="1"/>
    </font>
    <font>
      <sz val="10"/>
      <color rgb="FF000000"/>
      <name val="Inter"/>
      <family val="0"/>
      <charset val="1"/>
    </font>
    <font>
      <sz val="10"/>
      <color rgb="FF008000"/>
      <name val="IBM Plex Mono"/>
      <family val="0"/>
      <charset val="1"/>
    </font>
    <font>
      <b val="true"/>
      <sz val="9"/>
      <color rgb="FF000000"/>
      <name val="Inter"/>
      <family val="0"/>
      <charset val="1"/>
    </font>
    <font>
      <b val="true"/>
      <sz val="10"/>
      <color rgb="FF2C7A6B"/>
      <name val="Inter"/>
      <family val="0"/>
      <charset val="1"/>
    </font>
    <font>
      <b val="true"/>
      <sz val="13"/>
      <color rgb="FFFFFFFF"/>
      <name val="Inter"/>
      <family val="0"/>
      <charset val="1"/>
    </font>
    <font>
      <b val="true"/>
      <sz val="10"/>
      <color rgb="FF0000FF"/>
      <name val="IBM Plex Mono"/>
      <family val="0"/>
      <charset val="1"/>
    </font>
    <font>
      <sz val="10"/>
      <color rgb="FF000000"/>
      <name val="IBM Plex Mono"/>
      <family val="0"/>
      <charset val="1"/>
    </font>
    <font>
      <i val="true"/>
      <sz val="10"/>
      <color rgb="FF000000"/>
      <name val="Inter"/>
      <family val="0"/>
      <charset val="1"/>
    </font>
    <font>
      <b val="true"/>
      <sz val="10"/>
      <color rgb="FF000000"/>
      <name val="IBM Plex Mono"/>
      <family val="0"/>
      <charset val="1"/>
    </font>
    <font>
      <b val="true"/>
      <sz val="12"/>
      <color rgb="FF2C7A6B"/>
      <name val="IBM Plex Mono"/>
      <family val="0"/>
      <charset val="1"/>
    </font>
    <font>
      <b val="true"/>
      <sz val="12"/>
      <color rgb="FF2B4C7E"/>
      <name val="IBM Plex Mono"/>
      <family val="0"/>
      <charset val="1"/>
    </font>
    <font>
      <b val="true"/>
      <sz val="12"/>
      <color rgb="FF8A8D91"/>
      <name val="IBM Plex Mono"/>
      <family val="0"/>
      <charset val="1"/>
    </font>
    <font>
      <sz val="10"/>
      <name val="Arial"/>
      <family val="2"/>
    </font>
    <font>
      <i val="true"/>
      <sz val="9"/>
      <color rgb="FF000000"/>
      <name val="Inter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B4C7E"/>
        <bgColor rgb="FF003366"/>
      </patternFill>
    </fill>
    <fill>
      <patternFill patternType="solid">
        <fgColor rgb="FF2C7A6B"/>
        <bgColor rgb="FF008080"/>
      </patternFill>
    </fill>
    <fill>
      <patternFill patternType="solid">
        <fgColor rgb="FFE7EFEC"/>
        <bgColor rgb="FFE4EAF2"/>
      </patternFill>
    </fill>
    <fill>
      <patternFill patternType="solid">
        <fgColor rgb="FFE4EAF2"/>
        <bgColor rgb="FFE7EFEC"/>
      </patternFill>
    </fill>
    <fill>
      <patternFill patternType="solid">
        <fgColor rgb="FF8A8D91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7EF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A8D91"/>
      <rgbColor rgb="FF003366"/>
      <rgbColor rgb="FF2C7A6B"/>
      <rgbColor rgb="FF003300"/>
      <rgbColor rgb="FF333300"/>
      <rgbColor rgb="FF993300"/>
      <rgbColor rgb="FF993366"/>
      <rgbColor rgb="FF2B4C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8.3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8.3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4" t="s">
        <v>7</v>
      </c>
      <c r="F5" s="4"/>
    </row>
    <row r="6" customFormat="false" ht="22.35" hidden="false" customHeight="true" outlineLevel="0" collapsed="false">
      <c r="A6" s="6" t="s">
        <v>8</v>
      </c>
      <c r="B6" s="7" t="n">
        <f aca="false">NOW_Model!B37</f>
        <v>156.308028448434</v>
      </c>
      <c r="C6" s="8" t="n">
        <f aca="false">NOW_Model!B38</f>
        <v>0.563080284484342</v>
      </c>
      <c r="D6" s="9" t="n">
        <v>185.38</v>
      </c>
      <c r="E6" s="10" t="s">
        <v>9</v>
      </c>
      <c r="F6" s="10"/>
    </row>
    <row r="7" customFormat="false" ht="22.35" hidden="false" customHeight="true" outlineLevel="0" collapsed="false">
      <c r="A7" s="6" t="s">
        <v>10</v>
      </c>
      <c r="B7" s="7" t="n">
        <f aca="false">NOW_Model!B53</f>
        <v>127.688415565219</v>
      </c>
      <c r="C7" s="8" t="n">
        <f aca="false">NOW_Model!B54</f>
        <v>0.276884155652189</v>
      </c>
      <c r="D7" s="9" t="n">
        <v>128.46</v>
      </c>
      <c r="E7" s="10" t="s">
        <v>11</v>
      </c>
      <c r="F7" s="10"/>
    </row>
    <row r="8" customFormat="false" ht="22.35" hidden="false" customHeight="true" outlineLevel="0" collapsed="false">
      <c r="A8" s="6" t="s">
        <v>12</v>
      </c>
      <c r="B8" s="7" t="n">
        <f aca="false">NOW_Model!B69</f>
        <v>92.8993050948042</v>
      </c>
      <c r="C8" s="8" t="n">
        <f aca="false">NOW_Model!B70</f>
        <v>-0.0710069490519583</v>
      </c>
      <c r="D8" s="9" t="n">
        <v>82.5</v>
      </c>
      <c r="E8" s="10" t="s">
        <v>13</v>
      </c>
      <c r="F8" s="10"/>
    </row>
    <row r="10" customFormat="false" ht="15" hidden="false" customHeight="true" outlineLevel="0" collapsed="false">
      <c r="A10" s="3" t="s">
        <v>14</v>
      </c>
      <c r="B10" s="3"/>
      <c r="C10" s="3"/>
      <c r="D10" s="3"/>
      <c r="E10" s="3"/>
      <c r="F10" s="3"/>
    </row>
    <row r="11" customFormat="false" ht="28.35" hidden="false" customHeight="false" outlineLevel="0" collapsed="false">
      <c r="A11" s="4" t="s">
        <v>15</v>
      </c>
      <c r="B11" s="5" t="s">
        <v>16</v>
      </c>
      <c r="C11" s="5" t="s">
        <v>17</v>
      </c>
      <c r="D11" s="4" t="s">
        <v>18</v>
      </c>
      <c r="E11" s="4"/>
      <c r="F11" s="4"/>
    </row>
    <row r="12" customFormat="false" ht="15" hidden="false" customHeight="false" outlineLevel="0" collapsed="false">
      <c r="A12" s="11" t="s">
        <v>19</v>
      </c>
      <c r="B12" s="12" t="n">
        <f aca="false">NOW_Model!B21</f>
        <v>100</v>
      </c>
      <c r="C12" s="9" t="n">
        <v>119.29</v>
      </c>
      <c r="D12" s="13" t="s">
        <v>20</v>
      </c>
    </row>
    <row r="13" customFormat="false" ht="15" hidden="false" customHeight="false" outlineLevel="0" collapsed="false">
      <c r="A13" s="11" t="s">
        <v>21</v>
      </c>
      <c r="B13" s="14" t="n">
        <v>3987</v>
      </c>
      <c r="C13" s="14" t="n">
        <v>3770</v>
      </c>
      <c r="D13" s="13" t="s">
        <v>22</v>
      </c>
    </row>
    <row r="14" customFormat="false" ht="15" hidden="false" customHeight="false" outlineLevel="0" collapsed="false">
      <c r="A14" s="11" t="s">
        <v>23</v>
      </c>
      <c r="B14" s="15" t="n">
        <f aca="false">NOW_Model!D7</f>
        <v>0.24</v>
      </c>
      <c r="C14" s="16" t="n">
        <v>0.22</v>
      </c>
      <c r="D14" s="13" t="s">
        <v>24</v>
      </c>
    </row>
    <row r="15" customFormat="false" ht="15" hidden="false" customHeight="false" outlineLevel="0" collapsed="false">
      <c r="A15" s="11" t="s">
        <v>25</v>
      </c>
      <c r="B15" s="14" t="n">
        <v>13200</v>
      </c>
      <c r="C15" s="14" t="n">
        <v>12640</v>
      </c>
      <c r="D15" s="13" t="s">
        <v>26</v>
      </c>
    </row>
    <row r="16" customFormat="false" ht="15" hidden="false" customHeight="false" outlineLevel="0" collapsed="false">
      <c r="A16" s="11" t="s">
        <v>27</v>
      </c>
      <c r="B16" s="16" t="n">
        <v>0.21</v>
      </c>
      <c r="C16" s="16" t="n">
        <v>0.225</v>
      </c>
      <c r="D16" s="13" t="s">
        <v>28</v>
      </c>
    </row>
    <row r="17" customFormat="false" ht="22.35" hidden="false" customHeight="false" outlineLevel="0" collapsed="false">
      <c r="A17" s="11" t="s">
        <v>29</v>
      </c>
      <c r="B17" s="15" t="n">
        <f aca="false">NOW_Model!D10</f>
        <v>0.295</v>
      </c>
      <c r="C17" s="16" t="n">
        <v>0.32</v>
      </c>
      <c r="D17" s="13" t="s">
        <v>30</v>
      </c>
    </row>
    <row r="18" customFormat="false" ht="15" hidden="false" customHeight="false" outlineLevel="0" collapsed="false">
      <c r="A18" s="11" t="s">
        <v>31</v>
      </c>
      <c r="B18" s="17" t="n">
        <f aca="false">NOW_Model!B19</f>
        <v>-810</v>
      </c>
      <c r="C18" s="14" t="n">
        <v>3691</v>
      </c>
      <c r="D18" s="13" t="s">
        <v>32</v>
      </c>
    </row>
    <row r="19" customFormat="false" ht="15" hidden="false" customHeight="false" outlineLevel="0" collapsed="false">
      <c r="A19" s="11" t="s">
        <v>33</v>
      </c>
      <c r="B19" s="18" t="s">
        <v>34</v>
      </c>
      <c r="C19" s="11" t="s">
        <v>35</v>
      </c>
      <c r="D19" s="13" t="s">
        <v>36</v>
      </c>
    </row>
    <row r="20" customFormat="false" ht="22.35" hidden="false" customHeight="false" outlineLevel="0" collapsed="false">
      <c r="A20" s="11" t="s">
        <v>37</v>
      </c>
      <c r="B20" s="16" t="n">
        <v>0.575</v>
      </c>
      <c r="C20" s="16" t="n">
        <v>0.575</v>
      </c>
      <c r="D20" s="13" t="s">
        <v>38</v>
      </c>
    </row>
    <row r="22" customFormat="false" ht="15" hidden="false" customHeight="true" outlineLevel="0" collapsed="false">
      <c r="A22" s="3" t="s">
        <v>39</v>
      </c>
      <c r="B22" s="3"/>
      <c r="C22" s="3"/>
      <c r="D22" s="3"/>
      <c r="E22" s="3"/>
      <c r="F22" s="3"/>
    </row>
    <row r="23" customFormat="false" ht="15" hidden="false" customHeight="true" outlineLevel="0" collapsed="false">
      <c r="A23" s="6" t="s">
        <v>40</v>
      </c>
      <c r="B23" s="19" t="s">
        <v>41</v>
      </c>
      <c r="C23" s="19"/>
      <c r="D23" s="19"/>
      <c r="E23" s="19"/>
      <c r="F23" s="19"/>
    </row>
    <row r="24" customFormat="false" ht="15" hidden="false" customHeight="true" outlineLevel="0" collapsed="false">
      <c r="A24" s="6" t="s">
        <v>42</v>
      </c>
      <c r="B24" s="19" t="s">
        <v>43</v>
      </c>
      <c r="C24" s="19"/>
      <c r="D24" s="19"/>
      <c r="E24" s="19"/>
      <c r="F24" s="19"/>
    </row>
    <row r="25" customFormat="false" ht="15" hidden="false" customHeight="true" outlineLevel="0" collapsed="false">
      <c r="A25" s="6" t="s">
        <v>44</v>
      </c>
      <c r="B25" s="19" t="s">
        <v>45</v>
      </c>
      <c r="C25" s="19"/>
      <c r="D25" s="19"/>
      <c r="E25" s="19"/>
      <c r="F25" s="19"/>
    </row>
    <row r="26" customFormat="false" ht="15" hidden="false" customHeight="true" outlineLevel="0" collapsed="false">
      <c r="A26" s="6" t="s">
        <v>46</v>
      </c>
      <c r="B26" s="19" t="s">
        <v>47</v>
      </c>
      <c r="C26" s="19"/>
      <c r="D26" s="19"/>
      <c r="E26" s="19"/>
      <c r="F26" s="19"/>
    </row>
    <row r="27" customFormat="false" ht="15" hidden="false" customHeight="true" outlineLevel="0" collapsed="false">
      <c r="A27" s="6" t="s">
        <v>48</v>
      </c>
      <c r="B27" s="19" t="s">
        <v>49</v>
      </c>
      <c r="C27" s="19"/>
      <c r="D27" s="19"/>
      <c r="E27" s="19"/>
      <c r="F27" s="19"/>
    </row>
    <row r="28" customFormat="false" ht="15" hidden="false" customHeight="true" outlineLevel="0" collapsed="false">
      <c r="A28" s="6" t="s">
        <v>50</v>
      </c>
      <c r="B28" s="19" t="s">
        <v>51</v>
      </c>
      <c r="C28" s="19"/>
      <c r="D28" s="19"/>
      <c r="E28" s="19"/>
      <c r="F28" s="19"/>
    </row>
  </sheetData>
  <mergeCells count="14">
    <mergeCell ref="A1:F1"/>
    <mergeCell ref="A2:F2"/>
    <mergeCell ref="A4:F4"/>
    <mergeCell ref="E6:F6"/>
    <mergeCell ref="E7:F7"/>
    <mergeCell ref="E8:F8"/>
    <mergeCell ref="A10:F10"/>
    <mergeCell ref="A22:F22"/>
    <mergeCell ref="B23:F23"/>
    <mergeCell ref="B24:F24"/>
    <mergeCell ref="B25:F25"/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3"/>
  </cols>
  <sheetData>
    <row r="1" customFormat="false" ht="24" hidden="false" customHeight="true" outlineLevel="0" collapsed="false">
      <c r="A1" s="20" t="s">
        <v>52</v>
      </c>
      <c r="B1" s="20"/>
      <c r="C1" s="20"/>
      <c r="D1" s="20"/>
      <c r="E1" s="20"/>
      <c r="F1" s="20"/>
      <c r="G1" s="20"/>
    </row>
    <row r="3" customFormat="false" ht="15" hidden="false" customHeight="true" outlineLevel="0" collapsed="false">
      <c r="A3" s="3" t="s">
        <v>53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15</v>
      </c>
      <c r="B4" s="4" t="s">
        <v>54</v>
      </c>
      <c r="C4" s="4" t="s">
        <v>55</v>
      </c>
      <c r="D4" s="4" t="s">
        <v>16</v>
      </c>
      <c r="E4" s="4" t="s">
        <v>56</v>
      </c>
      <c r="F4" s="4"/>
      <c r="G4" s="4"/>
    </row>
    <row r="5" customFormat="false" ht="15" hidden="false" customHeight="false" outlineLevel="0" collapsed="false">
      <c r="A5" s="11" t="s">
        <v>57</v>
      </c>
      <c r="B5" s="21" t="n">
        <v>12840</v>
      </c>
      <c r="C5" s="21" t="n">
        <v>3671</v>
      </c>
      <c r="D5" s="21" t="n">
        <v>3877</v>
      </c>
    </row>
    <row r="6" customFormat="false" ht="15" hidden="false" customHeight="false" outlineLevel="0" collapsed="false">
      <c r="A6" s="11" t="s">
        <v>58</v>
      </c>
      <c r="B6" s="21" t="n">
        <v>13285</v>
      </c>
      <c r="C6" s="21" t="n">
        <v>3770</v>
      </c>
      <c r="D6" s="21" t="n">
        <v>3987</v>
      </c>
    </row>
    <row r="7" customFormat="false" ht="15" hidden="false" customHeight="false" outlineLevel="0" collapsed="false">
      <c r="A7" s="11" t="s">
        <v>59</v>
      </c>
      <c r="B7" s="16" t="n">
        <v>0.21</v>
      </c>
      <c r="C7" s="16" t="n">
        <v>0.22</v>
      </c>
      <c r="D7" s="16" t="n">
        <v>0.24</v>
      </c>
    </row>
    <row r="8" customFormat="false" ht="15" hidden="false" customHeight="false" outlineLevel="0" collapsed="false">
      <c r="A8" s="11" t="s">
        <v>60</v>
      </c>
      <c r="C8" s="16" t="n">
        <v>0.22</v>
      </c>
      <c r="D8" s="16" t="n">
        <v>0.245</v>
      </c>
    </row>
    <row r="9" customFormat="false" ht="15" hidden="false" customHeight="false" outlineLevel="0" collapsed="false">
      <c r="A9" s="11" t="s">
        <v>61</v>
      </c>
      <c r="C9" s="16" t="n">
        <v>0.815</v>
      </c>
      <c r="D9" s="16" t="n">
        <v>0.805</v>
      </c>
    </row>
    <row r="10" customFormat="false" ht="15" hidden="false" customHeight="false" outlineLevel="0" collapsed="false">
      <c r="A10" s="11" t="s">
        <v>62</v>
      </c>
      <c r="C10" s="16" t="n">
        <v>0.32</v>
      </c>
      <c r="D10" s="16" t="n">
        <v>0.295</v>
      </c>
    </row>
    <row r="11" customFormat="false" ht="15" hidden="false" customHeight="false" outlineLevel="0" collapsed="false">
      <c r="A11" s="11" t="s">
        <v>63</v>
      </c>
      <c r="B11" s="16" t="n">
        <v>0.4</v>
      </c>
      <c r="C11" s="16" t="n">
        <v>0.44</v>
      </c>
      <c r="D11" s="16" t="n">
        <v>0.16</v>
      </c>
    </row>
    <row r="12" customFormat="false" ht="15" hidden="false" customHeight="false" outlineLevel="0" collapsed="false">
      <c r="A12" s="11" t="s">
        <v>25</v>
      </c>
      <c r="C12" s="21" t="n">
        <v>12640</v>
      </c>
      <c r="D12" s="21" t="n">
        <v>13200</v>
      </c>
      <c r="E12" s="16" t="n">
        <v>0.21</v>
      </c>
    </row>
    <row r="13" customFormat="false" ht="15" hidden="false" customHeight="false" outlineLevel="0" collapsed="false">
      <c r="A13" s="11" t="s">
        <v>64</v>
      </c>
      <c r="C13" s="21" t="n">
        <v>27700</v>
      </c>
      <c r="D13" s="21" t="n">
        <v>29000</v>
      </c>
      <c r="E13" s="16" t="n">
        <v>0.21</v>
      </c>
    </row>
    <row r="14" customFormat="false" ht="15" hidden="false" customHeight="false" outlineLevel="0" collapsed="false">
      <c r="A14" s="11" t="s">
        <v>65</v>
      </c>
      <c r="C14" s="9" t="n">
        <v>0.97</v>
      </c>
      <c r="D14" s="9" t="n">
        <v>0.9</v>
      </c>
    </row>
    <row r="16" customFormat="false" ht="15" hidden="false" customHeight="true" outlineLevel="0" collapsed="false">
      <c r="A16" s="3" t="s">
        <v>66</v>
      </c>
      <c r="B16" s="3"/>
      <c r="C16" s="3"/>
      <c r="D16" s="3"/>
      <c r="E16" s="3"/>
      <c r="F16" s="3"/>
      <c r="G16" s="3"/>
    </row>
    <row r="17" customFormat="false" ht="23.85" hidden="false" customHeight="false" outlineLevel="0" collapsed="false">
      <c r="A17" s="6" t="s">
        <v>67</v>
      </c>
      <c r="B17" s="22" t="n">
        <v>0.11</v>
      </c>
    </row>
    <row r="18" customFormat="false" ht="15" hidden="false" customHeight="false" outlineLevel="0" collapsed="false">
      <c r="A18" s="6" t="s">
        <v>68</v>
      </c>
      <c r="B18" s="23" t="n">
        <v>16200</v>
      </c>
    </row>
    <row r="19" customFormat="false" ht="15" hidden="false" customHeight="false" outlineLevel="0" collapsed="false">
      <c r="A19" s="6" t="s">
        <v>31</v>
      </c>
      <c r="B19" s="24" t="n">
        <v>-810</v>
      </c>
    </row>
    <row r="20" customFormat="false" ht="15" hidden="false" customHeight="false" outlineLevel="0" collapsed="false">
      <c r="A20" s="6" t="s">
        <v>69</v>
      </c>
      <c r="B20" s="23" t="n">
        <v>1034</v>
      </c>
    </row>
    <row r="21" customFormat="false" ht="15" hidden="false" customHeight="false" outlineLevel="0" collapsed="false">
      <c r="A21" s="6" t="s">
        <v>70</v>
      </c>
      <c r="B21" s="25" t="n">
        <v>100</v>
      </c>
    </row>
    <row r="23" customFormat="false" ht="15" hidden="false" customHeight="true" outlineLevel="0" collapsed="false">
      <c r="A23" s="3" t="s">
        <v>71</v>
      </c>
      <c r="B23" s="3"/>
      <c r="C23" s="3"/>
      <c r="D23" s="3"/>
      <c r="E23" s="3"/>
      <c r="F23" s="3"/>
      <c r="G23" s="3"/>
    </row>
    <row r="24" customFormat="false" ht="15" hidden="false" customHeight="false" outlineLevel="0" collapsed="false">
      <c r="A24" s="4" t="s">
        <v>72</v>
      </c>
      <c r="B24" s="26" t="s">
        <v>73</v>
      </c>
      <c r="C24" s="26" t="s">
        <v>74</v>
      </c>
      <c r="D24" s="26" t="s">
        <v>75</v>
      </c>
      <c r="E24" s="26" t="s">
        <v>76</v>
      </c>
      <c r="F24" s="26" t="s">
        <v>77</v>
      </c>
      <c r="G24" s="4"/>
    </row>
    <row r="25" customFormat="false" ht="15" hidden="false" customHeight="false" outlineLevel="0" collapsed="false">
      <c r="A25" s="11" t="s">
        <v>78</v>
      </c>
      <c r="B25" s="27" t="s">
        <v>79</v>
      </c>
      <c r="C25" s="16" t="n">
        <v>0.23</v>
      </c>
      <c r="D25" s="16" t="n">
        <v>0.2</v>
      </c>
      <c r="E25" s="16" t="n">
        <v>0.18</v>
      </c>
      <c r="F25" s="16" t="n">
        <v>0.16</v>
      </c>
    </row>
    <row r="26" customFormat="false" ht="15" hidden="false" customHeight="false" outlineLevel="0" collapsed="false">
      <c r="A26" s="11" t="s">
        <v>80</v>
      </c>
      <c r="B26" s="28" t="n">
        <f aca="false">$B$18</f>
        <v>16200</v>
      </c>
      <c r="C26" s="28" t="n">
        <f aca="false">B26*(1+C25)</f>
        <v>19926</v>
      </c>
      <c r="D26" s="28" t="n">
        <f aca="false">C26*(1+D25)</f>
        <v>23911.2</v>
      </c>
      <c r="E26" s="28" t="n">
        <f aca="false">D26*(1+E25)</f>
        <v>28215.216</v>
      </c>
      <c r="F26" s="28" t="n">
        <f aca="false">E26*(1+F25)</f>
        <v>32729.65056</v>
      </c>
    </row>
    <row r="27" customFormat="false" ht="15" hidden="false" customHeight="false" outlineLevel="0" collapsed="false">
      <c r="A27" s="11" t="s">
        <v>81</v>
      </c>
      <c r="B27" s="16" t="n">
        <v>0.35</v>
      </c>
      <c r="C27" s="16" t="n">
        <v>0.4</v>
      </c>
      <c r="D27" s="16" t="n">
        <v>0.42</v>
      </c>
      <c r="E27" s="16" t="n">
        <v>0.43</v>
      </c>
      <c r="F27" s="16" t="n">
        <v>0.44</v>
      </c>
    </row>
    <row r="28" customFormat="false" ht="15" hidden="false" customHeight="false" outlineLevel="0" collapsed="false">
      <c r="A28" s="11" t="s">
        <v>82</v>
      </c>
      <c r="B28" s="28" t="n">
        <f aca="false">B26*B27</f>
        <v>5670</v>
      </c>
      <c r="C28" s="28" t="n">
        <f aca="false">C26*C27</f>
        <v>7970.4</v>
      </c>
      <c r="D28" s="28" t="n">
        <f aca="false">D26*D27</f>
        <v>10042.704</v>
      </c>
      <c r="E28" s="28" t="n">
        <f aca="false">E26*E27</f>
        <v>12132.54288</v>
      </c>
      <c r="F28" s="28" t="n">
        <f aca="false">F26*F27</f>
        <v>14401.0462464</v>
      </c>
    </row>
    <row r="29" customFormat="false" ht="15" hidden="false" customHeight="false" outlineLevel="0" collapsed="false">
      <c r="A29" s="11" t="s">
        <v>83</v>
      </c>
      <c r="B29" s="28" t="n">
        <f aca="false">B28/(1+$B$17)^1</f>
        <v>5108.10810810811</v>
      </c>
      <c r="C29" s="28" t="n">
        <f aca="false">C28/(1+$B$17)^2</f>
        <v>6468.95544192841</v>
      </c>
      <c r="D29" s="28" t="n">
        <f aca="false">D28/(1+$B$17)^3</f>
        <v>7343.13860975658</v>
      </c>
      <c r="E29" s="28" t="n">
        <f aca="false">E28/(1+$B$17)^4</f>
        <v>7992.08179019839</v>
      </c>
      <c r="F29" s="28" t="n">
        <f aca="false">F28/(1+$B$17)^5</f>
        <v>8546.3200203588</v>
      </c>
    </row>
    <row r="30" customFormat="false" ht="23.85" hidden="false" customHeight="false" outlineLevel="0" collapsed="false">
      <c r="A30" s="29" t="s">
        <v>84</v>
      </c>
      <c r="B30" s="16" t="n">
        <v>0.04</v>
      </c>
      <c r="C30" s="29" t="s">
        <v>85</v>
      </c>
      <c r="D30" s="16" t="n">
        <v>0.44</v>
      </c>
    </row>
    <row r="31" customFormat="false" ht="15" hidden="false" customHeight="false" outlineLevel="0" collapsed="false">
      <c r="A31" s="11" t="s">
        <v>86</v>
      </c>
      <c r="B31" s="28" t="n">
        <f aca="false">SUM(B29:F29)</f>
        <v>35458.6039703503</v>
      </c>
    </row>
    <row r="32" customFormat="false" ht="15" hidden="false" customHeight="false" outlineLevel="0" collapsed="false">
      <c r="A32" s="11" t="s">
        <v>87</v>
      </c>
      <c r="B32" s="28" t="n">
        <f aca="false">F26*(1+B30)*D30</f>
        <v>14977.088096256</v>
      </c>
    </row>
    <row r="33" customFormat="false" ht="15" hidden="false" customHeight="false" outlineLevel="0" collapsed="false">
      <c r="A33" s="11" t="s">
        <v>88</v>
      </c>
      <c r="B33" s="28" t="n">
        <f aca="false">B32/($B$17-B30)</f>
        <v>213958.401375086</v>
      </c>
    </row>
    <row r="34" customFormat="false" ht="15" hidden="false" customHeight="false" outlineLevel="0" collapsed="false">
      <c r="A34" s="11" t="s">
        <v>89</v>
      </c>
      <c r="B34" s="28" t="n">
        <f aca="false">B33/(1+$B$17)^5</f>
        <v>126973.897445331</v>
      </c>
    </row>
    <row r="35" customFormat="false" ht="15" hidden="false" customHeight="false" outlineLevel="0" collapsed="false">
      <c r="A35" s="6" t="s">
        <v>90</v>
      </c>
      <c r="B35" s="30" t="n">
        <f aca="false">B31+B34</f>
        <v>162432.501415681</v>
      </c>
    </row>
    <row r="36" customFormat="false" ht="15" hidden="false" customHeight="false" outlineLevel="0" collapsed="false">
      <c r="A36" s="6" t="s">
        <v>91</v>
      </c>
      <c r="B36" s="30" t="n">
        <f aca="false">B35+$B$19</f>
        <v>161622.501415681</v>
      </c>
    </row>
    <row r="37" customFormat="false" ht="15" hidden="false" customHeight="false" outlineLevel="0" collapsed="false">
      <c r="A37" s="6" t="s">
        <v>92</v>
      </c>
      <c r="B37" s="31" t="n">
        <f aca="false">B36/$B$20</f>
        <v>156.308028448434</v>
      </c>
    </row>
    <row r="38" customFormat="false" ht="15" hidden="false" customHeight="false" outlineLevel="0" collapsed="false">
      <c r="A38" s="6" t="s">
        <v>93</v>
      </c>
      <c r="B38" s="32" t="n">
        <f aca="false">B37/$B$21-1</f>
        <v>0.563080284484342</v>
      </c>
    </row>
    <row r="39" customFormat="false" ht="15" hidden="false" customHeight="true" outlineLevel="0" collapsed="false">
      <c r="A39" s="33" t="s">
        <v>94</v>
      </c>
      <c r="B39" s="33"/>
      <c r="C39" s="33"/>
      <c r="D39" s="33"/>
      <c r="E39" s="33"/>
      <c r="F39" s="33"/>
      <c r="G39" s="33"/>
    </row>
    <row r="40" customFormat="false" ht="15" hidden="false" customHeight="false" outlineLevel="0" collapsed="false">
      <c r="A40" s="4" t="s">
        <v>72</v>
      </c>
      <c r="B40" s="5" t="s">
        <v>73</v>
      </c>
      <c r="C40" s="5" t="s">
        <v>74</v>
      </c>
      <c r="D40" s="5" t="s">
        <v>75</v>
      </c>
      <c r="E40" s="5" t="s">
        <v>76</v>
      </c>
      <c r="F40" s="5" t="s">
        <v>77</v>
      </c>
      <c r="G40" s="4"/>
    </row>
    <row r="41" customFormat="false" ht="15" hidden="false" customHeight="false" outlineLevel="0" collapsed="false">
      <c r="A41" s="11" t="s">
        <v>78</v>
      </c>
      <c r="B41" s="27" t="s">
        <v>79</v>
      </c>
      <c r="C41" s="16" t="n">
        <v>0.21</v>
      </c>
      <c r="D41" s="16" t="n">
        <v>0.18</v>
      </c>
      <c r="E41" s="16" t="n">
        <v>0.15</v>
      </c>
      <c r="F41" s="16" t="n">
        <v>0.13</v>
      </c>
    </row>
    <row r="42" customFormat="false" ht="15" hidden="false" customHeight="false" outlineLevel="0" collapsed="false">
      <c r="A42" s="11" t="s">
        <v>80</v>
      </c>
      <c r="B42" s="28" t="n">
        <f aca="false">$B$18</f>
        <v>16200</v>
      </c>
      <c r="C42" s="28" t="n">
        <f aca="false">B42*(1+C41)</f>
        <v>19602</v>
      </c>
      <c r="D42" s="28" t="n">
        <f aca="false">C42*(1+D41)</f>
        <v>23130.36</v>
      </c>
      <c r="E42" s="28" t="n">
        <f aca="false">D42*(1+E41)</f>
        <v>26599.914</v>
      </c>
      <c r="F42" s="28" t="n">
        <f aca="false">E42*(1+F41)</f>
        <v>30057.90282</v>
      </c>
    </row>
    <row r="43" customFormat="false" ht="15" hidden="false" customHeight="false" outlineLevel="0" collapsed="false">
      <c r="A43" s="11" t="s">
        <v>81</v>
      </c>
      <c r="B43" s="16" t="n">
        <v>0.35</v>
      </c>
      <c r="C43" s="16" t="n">
        <v>0.37</v>
      </c>
      <c r="D43" s="16" t="n">
        <v>0.39</v>
      </c>
      <c r="E43" s="16" t="n">
        <v>0.4</v>
      </c>
      <c r="F43" s="16" t="n">
        <v>0.41</v>
      </c>
    </row>
    <row r="44" customFormat="false" ht="15" hidden="false" customHeight="false" outlineLevel="0" collapsed="false">
      <c r="A44" s="11" t="s">
        <v>82</v>
      </c>
      <c r="B44" s="28" t="n">
        <f aca="false">B42*B43</f>
        <v>5670</v>
      </c>
      <c r="C44" s="28" t="n">
        <f aca="false">C42*C43</f>
        <v>7252.74</v>
      </c>
      <c r="D44" s="28" t="n">
        <f aca="false">D42*D43</f>
        <v>9020.8404</v>
      </c>
      <c r="E44" s="28" t="n">
        <f aca="false">E42*E43</f>
        <v>10639.9656</v>
      </c>
      <c r="F44" s="28" t="n">
        <f aca="false">F42*F43</f>
        <v>12323.7401562</v>
      </c>
    </row>
    <row r="45" customFormat="false" ht="15" hidden="false" customHeight="false" outlineLevel="0" collapsed="false">
      <c r="A45" s="11" t="s">
        <v>83</v>
      </c>
      <c r="B45" s="28" t="n">
        <f aca="false">B44/(1+$B$17)^1</f>
        <v>5108.10810810811</v>
      </c>
      <c r="C45" s="28" t="n">
        <f aca="false">C44/(1+$B$17)^2</f>
        <v>5886.48648648649</v>
      </c>
      <c r="D45" s="28" t="n">
        <f aca="false">D44/(1+$B$17)^3</f>
        <v>6595.96075257142</v>
      </c>
      <c r="E45" s="28" t="n">
        <f aca="false">E44/(1+$B$17)^4</f>
        <v>7008.87490455729</v>
      </c>
      <c r="F45" s="28" t="n">
        <f aca="false">F44/(1+$B$17)^5</f>
        <v>7313.53996234548</v>
      </c>
    </row>
    <row r="46" customFormat="false" ht="23.85" hidden="false" customHeight="false" outlineLevel="0" collapsed="false">
      <c r="A46" s="29" t="s">
        <v>84</v>
      </c>
      <c r="B46" s="16" t="n">
        <v>0.035</v>
      </c>
      <c r="C46" s="29" t="s">
        <v>85</v>
      </c>
      <c r="D46" s="16" t="n">
        <v>0.41</v>
      </c>
    </row>
    <row r="47" customFormat="false" ht="15" hidden="false" customHeight="false" outlineLevel="0" collapsed="false">
      <c r="A47" s="11" t="s">
        <v>86</v>
      </c>
      <c r="B47" s="28" t="n">
        <f aca="false">SUM(B45:F45)</f>
        <v>31912.9702140688</v>
      </c>
    </row>
    <row r="48" customFormat="false" ht="15" hidden="false" customHeight="false" outlineLevel="0" collapsed="false">
      <c r="A48" s="11" t="s">
        <v>87</v>
      </c>
      <c r="B48" s="28" t="n">
        <f aca="false">F42*(1+B46)*D46</f>
        <v>12755.071061667</v>
      </c>
    </row>
    <row r="49" customFormat="false" ht="15" hidden="false" customHeight="false" outlineLevel="0" collapsed="false">
      <c r="A49" s="11" t="s">
        <v>88</v>
      </c>
      <c r="B49" s="28" t="n">
        <f aca="false">B48/($B$17-B46)</f>
        <v>170067.61415556</v>
      </c>
    </row>
    <row r="50" customFormat="false" ht="15" hidden="false" customHeight="false" outlineLevel="0" collapsed="false">
      <c r="A50" s="11" t="s">
        <v>89</v>
      </c>
      <c r="B50" s="28" t="n">
        <f aca="false">B49/(1+$B$17)^5</f>
        <v>100926.851480368</v>
      </c>
    </row>
    <row r="51" customFormat="false" ht="15" hidden="false" customHeight="false" outlineLevel="0" collapsed="false">
      <c r="A51" s="6" t="s">
        <v>90</v>
      </c>
      <c r="B51" s="30" t="n">
        <f aca="false">B47+B50</f>
        <v>132839.821694436</v>
      </c>
    </row>
    <row r="52" customFormat="false" ht="15" hidden="false" customHeight="false" outlineLevel="0" collapsed="false">
      <c r="A52" s="6" t="s">
        <v>91</v>
      </c>
      <c r="B52" s="30" t="n">
        <f aca="false">B51+$B$19</f>
        <v>132029.821694436</v>
      </c>
    </row>
    <row r="53" customFormat="false" ht="15" hidden="false" customHeight="false" outlineLevel="0" collapsed="false">
      <c r="A53" s="6" t="s">
        <v>92</v>
      </c>
      <c r="B53" s="34" t="n">
        <f aca="false">B52/$B$20</f>
        <v>127.688415565219</v>
      </c>
    </row>
    <row r="54" customFormat="false" ht="15" hidden="false" customHeight="false" outlineLevel="0" collapsed="false">
      <c r="A54" s="6" t="s">
        <v>93</v>
      </c>
      <c r="B54" s="32" t="n">
        <f aca="false">B53/$B$21-1</f>
        <v>0.276884155652189</v>
      </c>
    </row>
    <row r="55" customFormat="false" ht="15" hidden="false" customHeight="true" outlineLevel="0" collapsed="false">
      <c r="A55" s="35" t="s">
        <v>95</v>
      </c>
      <c r="B55" s="35"/>
      <c r="C55" s="35"/>
      <c r="D55" s="35"/>
      <c r="E55" s="35"/>
      <c r="F55" s="35"/>
      <c r="G55" s="35"/>
    </row>
    <row r="56" customFormat="false" ht="15" hidden="false" customHeight="false" outlineLevel="0" collapsed="false">
      <c r="A56" s="4" t="s">
        <v>72</v>
      </c>
      <c r="B56" s="36" t="s">
        <v>73</v>
      </c>
      <c r="C56" s="36" t="s">
        <v>74</v>
      </c>
      <c r="D56" s="36" t="s">
        <v>75</v>
      </c>
      <c r="E56" s="36" t="s">
        <v>76</v>
      </c>
      <c r="F56" s="36" t="s">
        <v>77</v>
      </c>
      <c r="G56" s="4"/>
    </row>
    <row r="57" customFormat="false" ht="15" hidden="false" customHeight="false" outlineLevel="0" collapsed="false">
      <c r="A57" s="11" t="s">
        <v>78</v>
      </c>
      <c r="B57" s="27" t="s">
        <v>79</v>
      </c>
      <c r="C57" s="16" t="n">
        <v>0.16</v>
      </c>
      <c r="D57" s="16" t="n">
        <v>0.13</v>
      </c>
      <c r="E57" s="16" t="n">
        <v>0.11</v>
      </c>
      <c r="F57" s="16" t="n">
        <v>0.09</v>
      </c>
    </row>
    <row r="58" customFormat="false" ht="15" hidden="false" customHeight="false" outlineLevel="0" collapsed="false">
      <c r="A58" s="11" t="s">
        <v>80</v>
      </c>
      <c r="B58" s="28" t="n">
        <f aca="false">$B$18</f>
        <v>16200</v>
      </c>
      <c r="C58" s="28" t="n">
        <f aca="false">B58*(1+C57)</f>
        <v>18792</v>
      </c>
      <c r="D58" s="28" t="n">
        <f aca="false">C58*(1+D57)</f>
        <v>21234.96</v>
      </c>
      <c r="E58" s="28" t="n">
        <f aca="false">D58*(1+E57)</f>
        <v>23570.8056</v>
      </c>
      <c r="F58" s="28" t="n">
        <f aca="false">E58*(1+F57)</f>
        <v>25692.178104</v>
      </c>
    </row>
    <row r="59" customFormat="false" ht="15" hidden="false" customHeight="false" outlineLevel="0" collapsed="false">
      <c r="A59" s="11" t="s">
        <v>81</v>
      </c>
      <c r="B59" s="16" t="n">
        <v>0.34</v>
      </c>
      <c r="C59" s="16" t="n">
        <v>0.33</v>
      </c>
      <c r="D59" s="16" t="n">
        <v>0.34</v>
      </c>
      <c r="E59" s="16" t="n">
        <v>0.35</v>
      </c>
      <c r="F59" s="16" t="n">
        <v>0.36</v>
      </c>
    </row>
    <row r="60" customFormat="false" ht="15" hidden="false" customHeight="false" outlineLevel="0" collapsed="false">
      <c r="A60" s="11" t="s">
        <v>82</v>
      </c>
      <c r="B60" s="28" t="n">
        <f aca="false">B58*B59</f>
        <v>5508</v>
      </c>
      <c r="C60" s="28" t="n">
        <f aca="false">C58*C59</f>
        <v>6201.36</v>
      </c>
      <c r="D60" s="28" t="n">
        <f aca="false">D58*D59</f>
        <v>7219.8864</v>
      </c>
      <c r="E60" s="28" t="n">
        <f aca="false">E58*E59</f>
        <v>8249.78196</v>
      </c>
      <c r="F60" s="28" t="n">
        <f aca="false">F58*F59</f>
        <v>9249.18411744</v>
      </c>
    </row>
    <row r="61" customFormat="false" ht="15" hidden="false" customHeight="false" outlineLevel="0" collapsed="false">
      <c r="A61" s="11" t="s">
        <v>83</v>
      </c>
      <c r="B61" s="28" t="n">
        <f aca="false">B60/(1+$B$17)^1</f>
        <v>4962.16216216216</v>
      </c>
      <c r="C61" s="28" t="n">
        <f aca="false">C60/(1+$B$17)^2</f>
        <v>5033.16289262235</v>
      </c>
      <c r="D61" s="28" t="n">
        <f aca="false">D60/(1+$B$17)^3</f>
        <v>5279.11870965195</v>
      </c>
      <c r="E61" s="28" t="n">
        <f aca="false">E60/(1+$B$17)^4</f>
        <v>5434.38690699465</v>
      </c>
      <c r="F61" s="28" t="n">
        <f aca="false">F60/(1+$B$17)^5</f>
        <v>5488.9405979529</v>
      </c>
    </row>
    <row r="62" customFormat="false" ht="23.85" hidden="false" customHeight="false" outlineLevel="0" collapsed="false">
      <c r="A62" s="29" t="s">
        <v>84</v>
      </c>
      <c r="B62" s="16" t="n">
        <v>0.03</v>
      </c>
      <c r="C62" s="29" t="s">
        <v>85</v>
      </c>
      <c r="D62" s="16" t="n">
        <v>0.36</v>
      </c>
    </row>
    <row r="63" customFormat="false" ht="15" hidden="false" customHeight="false" outlineLevel="0" collapsed="false">
      <c r="A63" s="11" t="s">
        <v>86</v>
      </c>
      <c r="B63" s="28" t="n">
        <f aca="false">SUM(B61:F61)</f>
        <v>26197.771269384</v>
      </c>
    </row>
    <row r="64" customFormat="false" ht="15" hidden="false" customHeight="false" outlineLevel="0" collapsed="false">
      <c r="A64" s="11" t="s">
        <v>87</v>
      </c>
      <c r="B64" s="28" t="n">
        <f aca="false">F58*(1+B62)*D62</f>
        <v>9526.6596409632</v>
      </c>
    </row>
    <row r="65" customFormat="false" ht="15" hidden="false" customHeight="false" outlineLevel="0" collapsed="false">
      <c r="A65" s="11" t="s">
        <v>88</v>
      </c>
      <c r="B65" s="28" t="n">
        <f aca="false">B64/($B$17-B62)</f>
        <v>119083.24551204</v>
      </c>
    </row>
    <row r="66" customFormat="false" ht="15" hidden="false" customHeight="false" outlineLevel="0" collapsed="false">
      <c r="A66" s="11" t="s">
        <v>89</v>
      </c>
      <c r="B66" s="28" t="n">
        <f aca="false">B65/(1+$B$17)^5</f>
        <v>70670.1101986435</v>
      </c>
    </row>
    <row r="67" customFormat="false" ht="15" hidden="false" customHeight="false" outlineLevel="0" collapsed="false">
      <c r="A67" s="6" t="s">
        <v>90</v>
      </c>
      <c r="B67" s="30" t="n">
        <f aca="false">B63+B66</f>
        <v>96867.8814680275</v>
      </c>
    </row>
    <row r="68" customFormat="false" ht="15" hidden="false" customHeight="false" outlineLevel="0" collapsed="false">
      <c r="A68" s="6" t="s">
        <v>91</v>
      </c>
      <c r="B68" s="30" t="n">
        <f aca="false">B67+$B$19</f>
        <v>96057.8814680275</v>
      </c>
    </row>
    <row r="69" customFormat="false" ht="15" hidden="false" customHeight="false" outlineLevel="0" collapsed="false">
      <c r="A69" s="6" t="s">
        <v>92</v>
      </c>
      <c r="B69" s="37" t="n">
        <f aca="false">B68/$B$20</f>
        <v>92.8993050948042</v>
      </c>
    </row>
    <row r="70" customFormat="false" ht="15" hidden="false" customHeight="false" outlineLevel="0" collapsed="false">
      <c r="A70" s="6" t="s">
        <v>93</v>
      </c>
      <c r="B70" s="32" t="n">
        <f aca="false">B69/$B$21-1</f>
        <v>-0.0710069490519583</v>
      </c>
    </row>
  </sheetData>
  <mergeCells count="6">
    <mergeCell ref="A1:G1"/>
    <mergeCell ref="A3:G3"/>
    <mergeCell ref="A16:G16"/>
    <mergeCell ref="A23:G23"/>
    <mergeCell ref="A39:G39"/>
    <mergeCell ref="A55:G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6" min="6" style="0" width="13"/>
  </cols>
  <sheetData>
    <row r="1" customFormat="false" ht="16.4" hidden="false" customHeight="true" outlineLevel="0" collapsed="false">
      <c r="A1" s="20" t="s">
        <v>96</v>
      </c>
      <c r="B1" s="20"/>
      <c r="C1" s="20"/>
      <c r="D1" s="20"/>
      <c r="E1" s="20"/>
      <c r="F1" s="20"/>
    </row>
    <row r="3" customFormat="false" ht="15" hidden="false" customHeight="true" outlineLevel="0" collapsed="false">
      <c r="A3" s="3" t="s">
        <v>97</v>
      </c>
      <c r="B3" s="3"/>
      <c r="C3" s="3"/>
      <c r="D3" s="3"/>
      <c r="E3" s="3"/>
      <c r="F3" s="3"/>
    </row>
    <row r="4" customFormat="false" ht="28.35" hidden="false" customHeight="false" outlineLevel="0" collapsed="false">
      <c r="A4" s="4" t="s">
        <v>98</v>
      </c>
      <c r="B4" s="5" t="s">
        <v>99</v>
      </c>
      <c r="C4" s="5" t="s">
        <v>100</v>
      </c>
      <c r="D4" s="5" t="s">
        <v>101</v>
      </c>
      <c r="E4" s="4" t="s">
        <v>102</v>
      </c>
      <c r="F4" s="4"/>
    </row>
    <row r="5" customFormat="false" ht="23.85" hidden="false" customHeight="false" outlineLevel="0" collapsed="false">
      <c r="A5" s="11" t="s">
        <v>103</v>
      </c>
      <c r="B5" s="16" t="n">
        <v>0.225</v>
      </c>
      <c r="C5" s="16" t="n">
        <v>0.35</v>
      </c>
      <c r="D5" s="38" t="n">
        <f aca="false">(B5+C5)*100</f>
        <v>57.5</v>
      </c>
      <c r="E5" s="39" t="s">
        <v>104</v>
      </c>
    </row>
    <row r="6" customFormat="false" ht="23.85" hidden="false" customHeight="false" outlineLevel="0" collapsed="false">
      <c r="A6" s="11" t="s">
        <v>105</v>
      </c>
      <c r="B6" s="16" t="n">
        <v>0.24</v>
      </c>
      <c r="C6" s="16" t="n">
        <v>0.295</v>
      </c>
      <c r="D6" s="38" t="n">
        <f aca="false">(B6+C6)*100</f>
        <v>53.5</v>
      </c>
      <c r="E6" s="39" t="s">
        <v>106</v>
      </c>
    </row>
    <row r="7" customFormat="false" ht="32.8" hidden="false" customHeight="false" outlineLevel="0" collapsed="false">
      <c r="A7" s="11" t="s">
        <v>107</v>
      </c>
      <c r="B7" s="16" t="n">
        <v>0.24</v>
      </c>
      <c r="C7" s="16" t="n">
        <v>0.16</v>
      </c>
      <c r="D7" s="38" t="n">
        <f aca="false">(B7+C7)*100</f>
        <v>40</v>
      </c>
      <c r="E7" s="39" t="s">
        <v>108</v>
      </c>
    </row>
    <row r="9" customFormat="false" ht="64.15" hidden="false" customHeight="false" outlineLevel="0" collapsed="false">
      <c r="A9" s="40" t="s">
        <v>109</v>
      </c>
    </row>
    <row r="11" customFormat="false" ht="15" hidden="false" customHeight="true" outlineLevel="0" collapsed="false">
      <c r="A11" s="3" t="s">
        <v>110</v>
      </c>
      <c r="B11" s="3"/>
      <c r="C11" s="3"/>
      <c r="D11" s="3"/>
      <c r="E11" s="3"/>
      <c r="F11" s="3"/>
    </row>
    <row r="12" customFormat="false" ht="28.35" hidden="false" customHeight="false" outlineLevel="0" collapsed="false">
      <c r="A12" s="4" t="s">
        <v>111</v>
      </c>
      <c r="B12" s="5" t="s">
        <v>99</v>
      </c>
      <c r="C12" s="5" t="s">
        <v>81</v>
      </c>
      <c r="D12" s="5" t="s">
        <v>101</v>
      </c>
      <c r="E12" s="5" t="s">
        <v>112</v>
      </c>
      <c r="F12" s="5" t="s">
        <v>113</v>
      </c>
    </row>
    <row r="13" customFormat="false" ht="15" hidden="false" customHeight="false" outlineLevel="0" collapsed="false">
      <c r="A13" s="18" t="s">
        <v>114</v>
      </c>
      <c r="B13" s="16" t="n">
        <v>0.235</v>
      </c>
      <c r="C13" s="16" t="n">
        <v>0.35</v>
      </c>
      <c r="D13" s="41" t="n">
        <f aca="false">(B13+C13)*100</f>
        <v>58.5</v>
      </c>
      <c r="E13" s="42" t="n">
        <v>7.5</v>
      </c>
      <c r="F13" s="42" t="n">
        <v>21</v>
      </c>
    </row>
    <row r="14" customFormat="false" ht="15" hidden="false" customHeight="false" outlineLevel="0" collapsed="false">
      <c r="A14" s="11" t="s">
        <v>115</v>
      </c>
      <c r="B14" s="16" t="n">
        <v>0.63</v>
      </c>
      <c r="C14" s="16" t="n">
        <v>0.55</v>
      </c>
      <c r="D14" s="41" t="n">
        <f aca="false">(B14+C14)*100</f>
        <v>118</v>
      </c>
      <c r="E14" s="42" t="n">
        <v>42</v>
      </c>
      <c r="F14" s="42" t="n">
        <v>80</v>
      </c>
    </row>
    <row r="15" customFormat="false" ht="15" hidden="false" customHeight="false" outlineLevel="0" collapsed="false">
      <c r="A15" s="11" t="s">
        <v>116</v>
      </c>
      <c r="B15" s="16" t="n">
        <v>0.09</v>
      </c>
      <c r="C15" s="16" t="n">
        <v>0.32</v>
      </c>
      <c r="D15" s="41" t="n">
        <f aca="false">(B15+C15)*100</f>
        <v>41</v>
      </c>
      <c r="E15" s="42" t="n">
        <v>6</v>
      </c>
      <c r="F15" s="42" t="n">
        <v>19</v>
      </c>
    </row>
    <row r="16" customFormat="false" ht="15" hidden="false" customHeight="false" outlineLevel="0" collapsed="false">
      <c r="A16" s="11" t="s">
        <v>117</v>
      </c>
      <c r="B16" s="16" t="n">
        <v>0.24</v>
      </c>
      <c r="C16" s="16" t="n">
        <v>0.2</v>
      </c>
      <c r="D16" s="41" t="n">
        <f aca="false">(B16+C16)*100</f>
        <v>44</v>
      </c>
      <c r="E16" s="42" t="n">
        <v>11</v>
      </c>
      <c r="F16" s="42" t="n">
        <v>50</v>
      </c>
    </row>
    <row r="17" customFormat="false" ht="15" hidden="false" customHeight="false" outlineLevel="0" collapsed="false">
      <c r="A17" s="11" t="s">
        <v>118</v>
      </c>
      <c r="B17" s="16" t="n">
        <v>0.23</v>
      </c>
      <c r="C17" s="16" t="n">
        <v>0.26</v>
      </c>
      <c r="D17" s="41" t="n">
        <f aca="false">(B17+C17)*100</f>
        <v>49</v>
      </c>
      <c r="E17" s="42" t="n">
        <v>13</v>
      </c>
      <c r="F17" s="42" t="n">
        <v>52</v>
      </c>
    </row>
    <row r="18" customFormat="false" ht="15" hidden="false" customHeight="false" outlineLevel="0" collapsed="false">
      <c r="A18" s="11" t="s">
        <v>119</v>
      </c>
      <c r="B18" s="16" t="n">
        <v>0.2</v>
      </c>
      <c r="C18" s="16" t="n">
        <v>0.28</v>
      </c>
      <c r="D18" s="41" t="n">
        <f aca="false">(B18+C18)*100</f>
        <v>48</v>
      </c>
      <c r="E18" s="42" t="n">
        <v>18</v>
      </c>
      <c r="F18" s="42" t="n">
        <v>66</v>
      </c>
    </row>
    <row r="19" customFormat="false" ht="15" hidden="false" customHeight="false" outlineLevel="0" collapsed="false">
      <c r="A19" s="11" t="s">
        <v>120</v>
      </c>
      <c r="B19" s="16" t="n">
        <v>0.13</v>
      </c>
      <c r="C19" s="16" t="n">
        <v>0.26</v>
      </c>
      <c r="D19" s="41" t="n">
        <f aca="false">(B19+C19)*100</f>
        <v>39</v>
      </c>
      <c r="E19" s="42" t="n">
        <v>5.5</v>
      </c>
      <c r="F19" s="42" t="n">
        <v>22</v>
      </c>
    </row>
    <row r="21" customFormat="false" ht="43.25" hidden="false" customHeight="false" outlineLevel="0" collapsed="false">
      <c r="A21" s="40" t="s">
        <v>121</v>
      </c>
    </row>
  </sheetData>
  <mergeCells count="3">
    <mergeCell ref="A1:F1"/>
    <mergeCell ref="A3:F3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8"/>
    <col collapsed="false" customWidth="true" hidden="false" outlineLevel="0" max="5" min="5" style="0" width="22"/>
  </cols>
  <sheetData>
    <row r="1" customFormat="false" ht="16.4" hidden="false" customHeight="true" outlineLevel="0" collapsed="false">
      <c r="A1" s="20" t="s">
        <v>122</v>
      </c>
      <c r="B1" s="20"/>
      <c r="C1" s="20"/>
      <c r="D1" s="20"/>
      <c r="E1" s="20"/>
    </row>
    <row r="2" customFormat="false" ht="22.35" hidden="false" customHeight="true" outlineLevel="0" collapsed="false">
      <c r="A2" s="43" t="s">
        <v>123</v>
      </c>
      <c r="B2" s="43"/>
      <c r="C2" s="43"/>
      <c r="D2" s="43"/>
      <c r="E2" s="43"/>
    </row>
    <row r="4" customFormat="false" ht="15" hidden="false" customHeight="true" outlineLevel="0" collapsed="false">
      <c r="A4" s="3" t="s">
        <v>124</v>
      </c>
      <c r="B4" s="3"/>
      <c r="C4" s="3"/>
      <c r="D4" s="3"/>
      <c r="E4" s="3"/>
    </row>
    <row r="5" customFormat="false" ht="15" hidden="false" customHeight="true" outlineLevel="0" collapsed="false">
      <c r="A5" s="6" t="s">
        <v>40</v>
      </c>
      <c r="B5" s="19" t="s">
        <v>125</v>
      </c>
      <c r="C5" s="19"/>
      <c r="D5" s="19"/>
      <c r="E5" s="19"/>
    </row>
    <row r="6" customFormat="false" ht="15" hidden="false" customHeight="true" outlineLevel="0" collapsed="false">
      <c r="A6" s="6" t="s">
        <v>126</v>
      </c>
      <c r="B6" s="19" t="s">
        <v>127</v>
      </c>
      <c r="C6" s="19"/>
      <c r="D6" s="19"/>
      <c r="E6" s="19"/>
    </row>
    <row r="7" customFormat="false" ht="15" hidden="false" customHeight="true" outlineLevel="0" collapsed="false">
      <c r="A7" s="6" t="s">
        <v>128</v>
      </c>
      <c r="B7" s="19" t="s">
        <v>129</v>
      </c>
      <c r="C7" s="19"/>
      <c r="D7" s="19"/>
      <c r="E7" s="19"/>
    </row>
    <row r="8" customFormat="false" ht="15" hidden="false" customHeight="true" outlineLevel="0" collapsed="false">
      <c r="A8" s="6" t="s">
        <v>130</v>
      </c>
      <c r="B8" s="19" t="s">
        <v>43</v>
      </c>
      <c r="C8" s="19"/>
      <c r="D8" s="19"/>
      <c r="E8" s="19"/>
    </row>
    <row r="9" customFormat="false" ht="15" hidden="false" customHeight="true" outlineLevel="0" collapsed="false">
      <c r="A9" s="6" t="s">
        <v>131</v>
      </c>
      <c r="B9" s="19" t="s">
        <v>132</v>
      </c>
      <c r="C9" s="19"/>
      <c r="D9" s="19"/>
      <c r="E9" s="19"/>
    </row>
    <row r="11" customFormat="false" ht="15" hidden="false" customHeight="true" outlineLevel="0" collapsed="false">
      <c r="A11" s="3" t="s">
        <v>133</v>
      </c>
      <c r="B11" s="3"/>
      <c r="C11" s="3"/>
      <c r="D11" s="3"/>
      <c r="E11" s="3"/>
    </row>
    <row r="12" customFormat="false" ht="28.35" hidden="false" customHeight="false" outlineLevel="0" collapsed="false">
      <c r="A12" s="4" t="s">
        <v>134</v>
      </c>
      <c r="B12" s="4" t="s">
        <v>135</v>
      </c>
      <c r="C12" s="4" t="s">
        <v>136</v>
      </c>
      <c r="D12" s="4" t="s">
        <v>137</v>
      </c>
      <c r="E12" s="4" t="s">
        <v>138</v>
      </c>
    </row>
    <row r="13" customFormat="false" ht="32.8" hidden="false" customHeight="false" outlineLevel="0" collapsed="false">
      <c r="A13" s="6" t="s">
        <v>139</v>
      </c>
      <c r="B13" s="39" t="s">
        <v>140</v>
      </c>
      <c r="C13" s="39" t="s">
        <v>141</v>
      </c>
      <c r="D13" s="39" t="s">
        <v>142</v>
      </c>
      <c r="E13" s="39" t="s">
        <v>143</v>
      </c>
    </row>
    <row r="14" customFormat="false" ht="22.35" hidden="false" customHeight="false" outlineLevel="0" collapsed="false">
      <c r="A14" s="6" t="s">
        <v>144</v>
      </c>
      <c r="B14" s="39" t="s">
        <v>145</v>
      </c>
      <c r="C14" s="39" t="s">
        <v>146</v>
      </c>
      <c r="D14" s="39" t="s">
        <v>147</v>
      </c>
      <c r="E14" s="39" t="s">
        <v>148</v>
      </c>
    </row>
    <row r="15" customFormat="false" ht="32.8" hidden="false" customHeight="false" outlineLevel="0" collapsed="false">
      <c r="A15" s="6" t="s">
        <v>149</v>
      </c>
      <c r="B15" s="39" t="s">
        <v>150</v>
      </c>
      <c r="C15" s="39" t="s">
        <v>151</v>
      </c>
      <c r="D15" s="39" t="s">
        <v>152</v>
      </c>
      <c r="E15" s="39" t="s">
        <v>153</v>
      </c>
    </row>
    <row r="16" customFormat="false" ht="22.35" hidden="false" customHeight="false" outlineLevel="0" collapsed="false">
      <c r="A16" s="6" t="s">
        <v>154</v>
      </c>
      <c r="B16" s="39" t="s">
        <v>155</v>
      </c>
      <c r="C16" s="39" t="s">
        <v>156</v>
      </c>
      <c r="D16" s="39" t="s">
        <v>157</v>
      </c>
      <c r="E16" s="39" t="s">
        <v>158</v>
      </c>
    </row>
    <row r="18" customFormat="false" ht="43.25" hidden="false" customHeight="false" outlineLevel="0" collapsed="false">
      <c r="A18" s="40" t="s">
        <v>159</v>
      </c>
    </row>
  </sheetData>
  <mergeCells count="9">
    <mergeCell ref="A1:E1"/>
    <mergeCell ref="A2:E2"/>
    <mergeCell ref="A4:E4"/>
    <mergeCell ref="B5:E5"/>
    <mergeCell ref="B6:E6"/>
    <mergeCell ref="B7:E7"/>
    <mergeCell ref="B8:E8"/>
    <mergeCell ref="B9:E9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2026-07-23T00:58:57Z</dcterms:created>
  <dc:creator>openpyxl</dc:creator>
  <dc:description/>
  <dc:language>en-US</dc:language>
  <cp:lastModifiedBy/>
  <dcterms:modified xsi:type="dcterms:W3CDTF">2026-07-23T00:58:57Z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