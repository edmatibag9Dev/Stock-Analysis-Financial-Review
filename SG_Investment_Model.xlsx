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G_Model" sheetId="2" state="visible" r:id="rId2"/>
    <sheet xmlns:r="http://schemas.openxmlformats.org/officeDocument/2006/relationships" name="Unit_Economics" sheetId="3" state="visible" r:id="rId3"/>
    <sheet xmlns:r="http://schemas.openxmlformats.org/officeDocument/2006/relationships" name="Options_Strate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;($#,##0);&quot;-&quot;"/>
    <numFmt numFmtId="165" formatCode="0.00&quot;x&quot;"/>
    <numFmt numFmtId="166" formatCode="#,##0.0;(#,##0.0);&quot;-&quot;"/>
    <numFmt numFmtId="167" formatCode="0.0%"/>
    <numFmt numFmtId="168" formatCode="#,##0;(#,##0);&quot;-&quot;"/>
    <numFmt numFmtId="169" formatCode="$#,##0.0"/>
    <numFmt numFmtId="170" formatCode="#,##0&quot;x&quot;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  <font>
      <name val="Arial"/>
      <color rgb="000000FF"/>
      <sz val="11"/>
    </font>
    <font>
      <name val="Arial"/>
      <i val="1"/>
      <color rgb="00595959"/>
      <sz val="9"/>
    </font>
    <font>
      <name val="Arial"/>
      <b val="1"/>
      <color rgb="00008000"/>
      <sz val="11"/>
    </font>
    <font>
      <name val="Arial"/>
      <i val="1"/>
      <color rgb="00008000"/>
      <sz val="9"/>
    </font>
    <font>
      <name val="Arial"/>
      <i val="1"/>
      <color rgb="00FF0000"/>
      <sz val="9"/>
    </font>
    <font>
      <name val="Arial"/>
      <i val="1"/>
      <color rgb="002E7D32"/>
      <sz val="9"/>
    </font>
    <font>
      <name val="Arial"/>
      <b val="1"/>
      <color rgb="00FF0000"/>
      <sz val="11"/>
    </font>
    <font>
      <name val="Arial"/>
      <color rgb="00000000"/>
      <sz val="9"/>
    </font>
    <font>
      <name val="Arial"/>
      <b val="1"/>
      <color rgb="00FFFFFF"/>
      <sz val="15"/>
    </font>
    <font>
      <name val="Arial"/>
      <i val="1"/>
      <color rgb="00000000"/>
      <sz val="11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color rgb="00008000"/>
      <sz val="11"/>
    </font>
    <font>
      <name val="Arial"/>
      <color rgb="000000FF"/>
      <sz val="9"/>
    </font>
    <font>
      <name val="Arial"/>
      <color rgb="00595959"/>
      <sz val="9"/>
    </font>
    <font>
      <name val="Arial"/>
      <color rgb="00FF0000"/>
      <sz val="9"/>
    </font>
    <font>
      <name val="Arial"/>
      <i val="1"/>
      <color rgb="00000000"/>
      <sz val="9"/>
    </font>
    <font>
      <name val="Arial"/>
      <b val="1"/>
      <color rgb="000000FF"/>
      <sz val="9"/>
    </font>
    <font>
      <name val="Arial"/>
      <b val="1"/>
      <i val="1"/>
      <color rgb="00FF0000"/>
      <sz val="9"/>
    </font>
    <font>
      <name val="Arial"/>
      <b val="1"/>
      <color rgb="000000FF"/>
      <sz val="11"/>
    </font>
    <font>
      <name val="Arial"/>
      <b val="1"/>
      <color rgb="001F7A1F"/>
      <sz val="11"/>
    </font>
    <font>
      <name val="Arial"/>
      <b val="1"/>
      <color rgb="001F4E79"/>
      <sz val="11"/>
    </font>
    <font>
      <name val="Arial"/>
      <b val="1"/>
      <color rgb="00595959"/>
      <sz val="11"/>
    </font>
    <font>
      <name val="Arial"/>
      <b val="1"/>
      <color rgb="00C00000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595959"/>
      </patternFill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7" fontId="6" fillId="6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169" fontId="6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169" fontId="6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6" fontId="6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7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left" vertical="center"/>
    </xf>
    <xf numFmtId="166" fontId="5" fillId="0" borderId="1" applyAlignment="1" pivotButton="0" quotePrefix="0" xfId="0">
      <alignment horizontal="center" vertical="center"/>
    </xf>
    <xf numFmtId="166" fontId="4" fillId="11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/>
    </xf>
    <xf numFmtId="0" fontId="17" fillId="9" borderId="0" applyAlignment="1" pivotButton="0" quotePrefix="0" xfId="0">
      <alignment horizontal="left" vertical="center"/>
    </xf>
    <xf numFmtId="170" fontId="6" fillId="0" borderId="1" applyAlignment="1" pivotButton="0" quotePrefix="0" xfId="0">
      <alignment horizontal="center" vertical="center"/>
    </xf>
    <xf numFmtId="166" fontId="18" fillId="0" borderId="1" applyAlignment="1" pivotButton="0" quotePrefix="0" xfId="0">
      <alignment horizontal="center" vertical="center"/>
    </xf>
    <xf numFmtId="169" fontId="3" fillId="2" borderId="1" applyAlignment="1" pivotButton="0" quotePrefix="0" xfId="0">
      <alignment horizontal="center" vertical="center"/>
    </xf>
    <xf numFmtId="169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9" fontId="4" fillId="11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167" fontId="5" fillId="6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left" vertical="center"/>
    </xf>
    <xf numFmtId="0" fontId="23" fillId="7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25" fillId="5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left" vertical="center" wrapText="1"/>
    </xf>
    <xf numFmtId="0" fontId="22" fillId="11" borderId="1" applyAlignment="1" pivotButton="0" quotePrefix="0" xfId="0">
      <alignment horizontal="left" vertical="center" wrapText="1"/>
    </xf>
    <xf numFmtId="0" fontId="27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left" vertical="center" wrapText="1"/>
    </xf>
    <xf numFmtId="0" fontId="22" fillId="12" borderId="1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/>
    </xf>
    <xf numFmtId="0" fontId="29" fillId="12" borderId="1" applyAlignment="1" pivotButton="0" quotePrefix="0" xfId="0">
      <alignment horizontal="left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Model Builder</author>
  </authors>
  <commentList>
    <comment ref="C6" authorId="0" shapeId="0">
      <text>
        <t>Market price June 5 2026</t>
      </text>
    </comment>
    <comment ref="C7" authorId="0" shapeId="0">
      <text>
        <t>52-week high/low Finviz</t>
      </text>
    </comment>
    <comment ref="C8" authorId="0" shapeId="0">
      <text>
        <t>118.8M diluted shares x $7.42</t>
      </text>
    </comment>
    <comment ref="C9" authorId="0" shapeId="0">
      <text>
        <t>~$881M mkt cap minus $161M net cash</t>
      </text>
    </comment>
    <comment ref="C10" authorId="0" shapeId="0">
      <text>
        <t>EV divided by FY2025 revenue</t>
      </text>
    </comment>
    <comment ref="C11" authorId="0" shapeId="0">
      <text>
        <t>Full-year 2025 revenue annual 8-K</t>
      </text>
    </comment>
    <comment ref="C12" authorId="0" shapeId="0">
      <text>
        <t>Q1 2026 revenue May 7 2026 8-K</t>
      </text>
    </comment>
    <comment ref="C13" authorId="0" shapeId="0">
      <text>
        <t>Same-store sales Q1 2026</t>
      </text>
    </comment>
    <comment ref="C14" authorId="0" shapeId="0">
      <text>
        <t>Rest-level profit margin Q1 2026</t>
      </text>
    </comment>
    <comment ref="C15" authorId="0" shapeId="0">
      <text>
        <t>Adjusted EBITDA Q1 2026</t>
      </text>
    </comment>
    <comment ref="C16" authorId="0" shapeId="0">
      <text>
        <t>Cash plus restricted cash Q1 2026</t>
      </text>
    </comment>
    <comment ref="C17" authorId="0" shapeId="0">
      <text>
        <t>Investment in Wonder Group - illiquid</t>
      </text>
    </comment>
    <comment ref="C18" authorId="0" shapeId="0">
      <text>
        <t>Restaurant count Q1 2026</t>
      </text>
    </comment>
    <comment ref="C19" authorId="0" shapeId="0">
      <text>
        <t>Infinite Kitchen locations Q1 2026</t>
      </text>
    </comment>
    <comment ref="C20" authorId="0" shapeId="0">
      <text>
        <t>Annualized unit volume trailing</t>
      </text>
    </comment>
    <comment ref="C21" authorId="0" shapeId="0">
      <text>
        <t>Full-year 2026 SSS guidance</t>
      </text>
    </comment>
    <comment ref="C22" authorId="0" shapeId="0">
      <text>
        <t>Full-year 2026 Adj EBITDA guidance</t>
      </text>
    </comment>
    <comment ref="C27" authorId="0" shapeId="0">
      <text>
        <t>SMA data from Finviz June 5 2026</t>
      </text>
    </comment>
    <comment ref="C28" authorId="0" shapeId="0">
      <text>
        <t>SMA data from Finviz June 5 2026</t>
      </text>
    </comment>
    <comment ref="C29" authorId="0" shapeId="0">
      <text>
        <t>SMA data from Finviz June 5 2026</t>
      </text>
    </comment>
  </commentList>
</comments>
</file>

<file path=xl/comments/comment2.xml><?xml version="1.0" encoding="utf-8"?>
<comments xmlns="http://schemas.openxmlformats.org/spreadsheetml/2006/main">
  <authors>
    <author>Model Builder</author>
  </authors>
  <commentList>
    <comment ref="C6" authorId="0" shapeId="0">
      <text>
        <t>Source: Sweetgreen SEC filings CIK 0001477815</t>
      </text>
    </comment>
    <comment ref="D6" authorId="0" shapeId="0">
      <text>
        <t>Source: Sweetgreen SEC filings CIK 0001477815</t>
      </text>
    </comment>
    <comment ref="E6" authorId="0" shapeId="0">
      <text>
        <t>Source: Sweetgreen SEC filings CIK 0001477815</t>
      </text>
    </comment>
    <comment ref="F6" authorId="0" shapeId="0">
      <text>
        <t>Source: Sweetgreen SEC filings CIK 0001477815</t>
      </text>
    </comment>
    <comment ref="G6" authorId="0" shapeId="0">
      <text>
        <t>Source: Sweetgreen SEC filings CIK 0001477815</t>
      </text>
    </comment>
    <comment ref="H6" authorId="0" shapeId="0">
      <text>
        <t>Source: Sweetgreen SEC filings CIK 0001477815</t>
      </text>
    </comment>
    <comment ref="I6" authorId="0" shapeId="0">
      <text>
        <t>Source: Sweetgreen SEC filings CIK 0001477815</t>
      </text>
    </comment>
    <comment ref="C8" authorId="0" shapeId="0">
      <text>
        <t>Source: Sweetgreen quarterly/annual SEC filings</t>
      </text>
    </comment>
    <comment ref="D8" authorId="0" shapeId="0">
      <text>
        <t>Source: Sweetgreen quarterly/annual SEC filings</t>
      </text>
    </comment>
    <comment ref="E8" authorId="0" shapeId="0">
      <text>
        <t>Source: Sweetgreen quarterly/annual SEC filings</t>
      </text>
    </comment>
    <comment ref="F8" authorId="0" shapeId="0">
      <text>
        <t>Source: Sweetgreen quarterly/annual SEC filings</t>
      </text>
    </comment>
    <comment ref="G8" authorId="0" shapeId="0">
      <text>
        <t>Source: Sweetgreen quarterly/annual SEC filings</t>
      </text>
    </comment>
    <comment ref="H8" authorId="0" shapeId="0">
      <text>
        <t>Source: Sweetgreen quarterly/annual SEC filings</t>
      </text>
    </comment>
    <comment ref="I8" authorId="0" shapeId="0">
      <text>
        <t>Source: Sweetgreen quarterly/annual SEC filings</t>
      </text>
    </comment>
    <comment ref="C9" authorId="0" shapeId="0">
      <text>
        <t>Source: Sweetgreen SEC filings - approx for unreported quarters</t>
      </text>
    </comment>
    <comment ref="D9" authorId="0" shapeId="0">
      <text>
        <t>Source: Sweetgreen SEC filings - approx for unreported quarters</t>
      </text>
    </comment>
    <comment ref="E9" authorId="0" shapeId="0">
      <text>
        <t>Source: Sweetgreen SEC filings - approx for unreported quarters</t>
      </text>
    </comment>
    <comment ref="F9" authorId="0" shapeId="0">
      <text>
        <t>Source: Sweetgreen SEC filings - approx for unreported quarters</t>
      </text>
    </comment>
    <comment ref="G9" authorId="0" shapeId="0">
      <text>
        <t>Source: Sweetgreen SEC filings - approx for unreported quarters</t>
      </text>
    </comment>
    <comment ref="H9" authorId="0" shapeId="0">
      <text>
        <t>Source: Sweetgreen SEC filings - approx for unreported quarters</t>
      </text>
    </comment>
    <comment ref="I9" authorId="0" shapeId="0">
      <text>
        <t>Source: Sweetgreen SEC filings - approx for unreported quarters</t>
      </text>
    </comment>
    <comment ref="C11" authorId="0" shapeId="0">
      <text>
        <t>Source: Sweetgreen earnings releases and 8-K filings</t>
      </text>
    </comment>
    <comment ref="D11" authorId="0" shapeId="0">
      <text>
        <t>Source: Sweetgreen earnings releases and 8-K filings</t>
      </text>
    </comment>
    <comment ref="E11" authorId="0" shapeId="0">
      <text>
        <t>Source: Sweetgreen earnings releases and 8-K filings</t>
      </text>
    </comment>
    <comment ref="F11" authorId="0" shapeId="0">
      <text>
        <t>Source: Sweetgreen earnings releases and 8-K filings</t>
      </text>
    </comment>
    <comment ref="G11" authorId="0" shapeId="0">
      <text>
        <t>Source: Sweetgreen earnings releases and 8-K filings</t>
      </text>
    </comment>
    <comment ref="H11" authorId="0" shapeId="0">
      <text>
        <t>Source: Sweetgreen earnings releases and 8-K filings</t>
      </text>
    </comment>
    <comment ref="I11" authorId="0" shapeId="0">
      <text>
        <t>Source: Sweetgreen earnings releases and 8-K filings</t>
      </text>
    </comment>
    <comment ref="C13" authorId="0" shapeId="0">
      <text>
        <t>Restaurant count from SEC filings</t>
      </text>
    </comment>
    <comment ref="D13" authorId="0" shapeId="0">
      <text>
        <t>Restaurant count from SEC filings</t>
      </text>
    </comment>
    <comment ref="E13" authorId="0" shapeId="0">
      <text>
        <t>Restaurant count from SEC filings</t>
      </text>
    </comment>
    <comment ref="F13" authorId="0" shapeId="0">
      <text>
        <t>Restaurant count from SEC filings</t>
      </text>
    </comment>
    <comment ref="G13" authorId="0" shapeId="0">
      <text>
        <t>Restaurant count from SEC filings</t>
      </text>
    </comment>
    <comment ref="H13" authorId="0" shapeId="0">
      <text>
        <t>Restaurant count from SEC filings</t>
      </text>
    </comment>
    <comment ref="I13" authorId="0" shapeId="0">
      <text>
        <t>Restaurant count from SEC filings</t>
      </text>
    </comment>
    <comment ref="C14" authorId="0" shapeId="0">
      <text>
        <t>Infinite Kitchen automated restaurant count</t>
      </text>
    </comment>
    <comment ref="D14" authorId="0" shapeId="0">
      <text>
        <t>Infinite Kitchen automated restaurant count</t>
      </text>
    </comment>
    <comment ref="E14" authorId="0" shapeId="0">
      <text>
        <t>Infinite Kitchen automated restaurant count</t>
      </text>
    </comment>
    <comment ref="F14" authorId="0" shapeId="0">
      <text>
        <t>Infinite Kitchen automated restaurant count</t>
      </text>
    </comment>
    <comment ref="G14" authorId="0" shapeId="0">
      <text>
        <t>Infinite Kitchen automated restaurant count</t>
      </text>
    </comment>
    <comment ref="H14" authorId="0" shapeId="0">
      <text>
        <t>Infinite Kitchen automated restaurant count</t>
      </text>
    </comment>
    <comment ref="I14" authorId="0" shapeId="0">
      <text>
        <t>Infinite Kitchen automated restaurant count</t>
      </text>
    </comment>
    <comment ref="C15" authorId="0" shapeId="0">
      <text>
        <t>Annualized unit volume from Sweetgreen quarterly reports</t>
      </text>
    </comment>
    <comment ref="D15" authorId="0" shapeId="0">
      <text>
        <t>Annualized unit volume from Sweetgreen quarterly reports</t>
      </text>
    </comment>
    <comment ref="E15" authorId="0" shapeId="0">
      <text>
        <t>Annualized unit volume from Sweetgreen quarterly reports</t>
      </text>
    </comment>
    <comment ref="F15" authorId="0" shapeId="0">
      <text>
        <t>Annualized unit volume from Sweetgreen quarterly reports</t>
      </text>
    </comment>
    <comment ref="G15" authorId="0" shapeId="0">
      <text>
        <t>Annualized unit volume from Sweetgreen quarterly reports</t>
      </text>
    </comment>
    <comment ref="H15" authorId="0" shapeId="0">
      <text>
        <t>Annualized unit volume from Sweetgreen quarterly reports</t>
      </text>
    </comment>
    <comment ref="I15" authorId="0" shapeId="0">
      <text>
        <t>Annualized unit volume from Sweetgreen quarterly reports</t>
      </text>
    </comment>
    <comment ref="C43" authorId="0" shapeId="0">
      <text>
        <t>FY2026 base revenue derived from management SSS guidance (-4% to -2%) plus ~13 net new restaurants partial-year contribution</t>
      </text>
    </comment>
    <comment ref="C84" authorId="0" shapeId="0">
      <text>
        <t>Net cash from Q1 2026 balance sheet: $160.9M cash + restricted cash</t>
      </text>
    </comment>
    <comment ref="D84" authorId="0" shapeId="0">
      <text>
        <t>Net cash from Q1 2026 balance sheet: $160.9M cash + restricted cash</t>
      </text>
    </comment>
    <comment ref="E84" authorId="0" shapeId="0">
      <text>
        <t>Net cash from Q1 2026 balance sheet: $160.9M cash + restricted cash</t>
      </text>
    </comment>
    <comment ref="C85" authorId="0" shapeId="0">
      <text>
        <t>Diluted share count Q1 2026 10-Q</t>
      </text>
    </comment>
    <comment ref="D85" authorId="0" shapeId="0">
      <text>
        <t>Diluted share count Q1 2026 10-Q</t>
      </text>
    </comment>
    <comment ref="E85" authorId="0" shapeId="0">
      <text>
        <t>Diluted share count Q1 2026 10-Q</t>
      </text>
    </comment>
  </commentList>
</comments>
</file>

<file path=xl/comments/comment3.xml><?xml version="1.0" encoding="utf-8"?>
<comments xmlns="http://schemas.openxmlformats.org/spreadsheetml/2006/main">
  <authors>
    <author>Model Builder</author>
  </authors>
  <commentList>
    <comment ref="C6" authorId="0" shapeId="0">
      <text>
        <t>Source: Sweetgreen SEC filings and earnings releases</t>
      </text>
    </comment>
    <comment ref="D6" authorId="0" shapeId="0">
      <text>
        <t>Source: Sweetgreen SEC filings and earnings releases</t>
      </text>
    </comment>
    <comment ref="E6" authorId="0" shapeId="0">
      <text>
        <t>Source: Sweetgreen SEC filings and earnings releases</t>
      </text>
    </comment>
    <comment ref="F6" authorId="0" shapeId="0">
      <text>
        <t>Source: Sweetgreen SEC filings and earnings releases</t>
      </text>
    </comment>
    <comment ref="C7" authorId="0" shapeId="0">
      <text>
        <t>Source: Sweetgreen SEC filings and earnings releases</t>
      </text>
    </comment>
    <comment ref="D7" authorId="0" shapeId="0">
      <text>
        <t>Source: Sweetgreen SEC filings and earnings releases</t>
      </text>
    </comment>
    <comment ref="E7" authorId="0" shapeId="0">
      <text>
        <t>Source: Sweetgreen SEC filings and earnings releases</t>
      </text>
    </comment>
    <comment ref="F7" authorId="0" shapeId="0">
      <text>
        <t>Source: Sweetgreen SEC filings and earnings releases</t>
      </text>
    </comment>
    <comment ref="C8" authorId="0" shapeId="0">
      <text>
        <t>Source: Sweetgreen SEC filings and earnings releases</t>
      </text>
    </comment>
    <comment ref="D8" authorId="0" shapeId="0">
      <text>
        <t>Source: Sweetgreen SEC filings and earnings releases</t>
      </text>
    </comment>
    <comment ref="E8" authorId="0" shapeId="0">
      <text>
        <t>Source: Sweetgreen SEC filings and earnings releases</t>
      </text>
    </comment>
    <comment ref="F8" authorId="0" shapeId="0">
      <text>
        <t>Source: Sweetgreen SEC filings and earnings releases</t>
      </text>
    </comment>
    <comment ref="C9" authorId="0" shapeId="0">
      <text>
        <t>Source: Sweetgreen SEC filings and earnings releases</t>
      </text>
    </comment>
    <comment ref="D9" authorId="0" shapeId="0">
      <text>
        <t>Source: Sweetgreen SEC filings and earnings releases</t>
      </text>
    </comment>
    <comment ref="E9" authorId="0" shapeId="0">
      <text>
        <t>Source: Sweetgreen SEC filings and earnings releases</t>
      </text>
    </comment>
    <comment ref="F9" authorId="0" shapeId="0">
      <text>
        <t>Source: Sweetgreen SEC filings and earnings releases</t>
      </text>
    </comment>
    <comment ref="C10" authorId="0" shapeId="0">
      <text>
        <t>Source: Sweetgreen SEC filings and earnings releases</t>
      </text>
    </comment>
    <comment ref="D10" authorId="0" shapeId="0">
      <text>
        <t>Source: Sweetgreen SEC filings and earnings releases</t>
      </text>
    </comment>
    <comment ref="E10" authorId="0" shapeId="0">
      <text>
        <t>Source: Sweetgreen SEC filings and earnings releases</t>
      </text>
    </comment>
    <comment ref="F10" authorId="0" shapeId="0">
      <text>
        <t>Source: Sweetgreen SEC filings and earnings releases</t>
      </text>
    </comment>
    <comment ref="E13" authorId="0" shapeId="0">
      <text>
        <t>Q1 2026 free cash flow from ops minus capex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1:D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2" customWidth="1" min="3" max="3"/>
    <col width="28" customWidth="1" min="4" max="4"/>
    <col width="2" customWidth="1" min="5" max="5"/>
  </cols>
  <sheetData>
    <row r="1" ht="32" customHeight="1">
      <c r="B1" s="1" t="inlineStr">
        <is>
          <t>SWEETGREEN (SG) — INVESTMENT DASHBOARD</t>
        </is>
      </c>
    </row>
    <row r="2">
      <c r="B2" s="2" t="inlineStr">
        <is>
          <t>As of June 5, 2026  |  Source: Q1 2026 8-K, SEC EDGAR CIK 0001477815, Finviz</t>
        </is>
      </c>
    </row>
    <row r="4" ht="20" customHeight="1">
      <c r="B4" s="3" t="inlineStr">
        <is>
          <t xml:space="preserve">  COMPANY SNAPSHOT</t>
        </is>
      </c>
    </row>
    <row r="5">
      <c r="B5" s="4" t="inlineStr">
        <is>
          <t>Metric</t>
        </is>
      </c>
      <c r="C5" s="4" t="inlineStr">
        <is>
          <t>Value</t>
        </is>
      </c>
      <c r="D5" s="4" t="inlineStr">
        <is>
          <t>Source / Notes</t>
        </is>
      </c>
    </row>
    <row r="6" ht="18" customHeight="1">
      <c r="B6" s="5" t="inlineStr">
        <is>
          <t>Current Price</t>
        </is>
      </c>
      <c r="C6" s="6" t="inlineStr">
        <is>
          <t>$7.42</t>
        </is>
      </c>
      <c r="D6" s="7" t="inlineStr">
        <is>
          <t>June 5, 2026</t>
        </is>
      </c>
    </row>
    <row r="7" ht="18" customHeight="1">
      <c r="B7" s="8" t="inlineStr">
        <is>
          <t>52-Week Range</t>
        </is>
      </c>
      <c r="C7" s="9" t="inlineStr">
        <is>
          <t>$4.49 - $16.70</t>
        </is>
      </c>
      <c r="D7" s="10" t="inlineStr">
        <is>
          <t>Finviz June 5 2026</t>
        </is>
      </c>
    </row>
    <row r="8" ht="18" customHeight="1">
      <c r="B8" s="5" t="inlineStr">
        <is>
          <t>Market Cap (~$M)</t>
        </is>
      </c>
      <c r="C8" s="11" t="n">
        <v>881</v>
      </c>
      <c r="D8" s="7" t="inlineStr">
        <is>
          <t>118.8M shares x $7.42</t>
        </is>
      </c>
    </row>
    <row r="9" ht="18" customHeight="1">
      <c r="B9" s="8" t="inlineStr">
        <is>
          <t>Enterprise Value (~$M)</t>
        </is>
      </c>
      <c r="C9" s="12" t="n">
        <v>720</v>
      </c>
      <c r="D9" s="10" t="inlineStr">
        <is>
          <t>Mkt Cap minus $161M net cash</t>
        </is>
      </c>
    </row>
    <row r="10" ht="18" customHeight="1">
      <c r="B10" s="5" t="inlineStr">
        <is>
          <t>EV/FY2025 Revenue</t>
        </is>
      </c>
      <c r="C10" s="13" t="n">
        <v>1.06</v>
      </c>
      <c r="D10" s="7" t="inlineStr">
        <is>
          <t>$720M / $679.5M</t>
        </is>
      </c>
    </row>
    <row r="11" ht="18" customHeight="1">
      <c r="B11" s="8" t="inlineStr">
        <is>
          <t>FY2025 Revenue ($M)</t>
        </is>
      </c>
      <c r="C11" s="14" t="n">
        <v>679.5</v>
      </c>
      <c r="D11" s="10" t="inlineStr">
        <is>
          <t>FY2025 8-K</t>
        </is>
      </c>
    </row>
    <row r="12" ht="18" customHeight="1">
      <c r="B12" s="5" t="inlineStr">
        <is>
          <t>Q1 2026 Revenue ($M)</t>
        </is>
      </c>
      <c r="C12" s="15" t="n">
        <v>161.5</v>
      </c>
      <c r="D12" s="7" t="inlineStr">
        <is>
          <t>Q1 2026 8-K</t>
        </is>
      </c>
    </row>
    <row r="13" ht="18" customHeight="1">
      <c r="B13" s="8" t="inlineStr">
        <is>
          <t>Q1 2026 SSS Change</t>
        </is>
      </c>
      <c r="C13" s="16" t="n">
        <v>-0.128</v>
      </c>
      <c r="D13" s="10" t="inlineStr">
        <is>
          <t>Q1 2026 8-K</t>
        </is>
      </c>
    </row>
    <row r="14" ht="18" customHeight="1">
      <c r="B14" s="5" t="inlineStr">
        <is>
          <t>Restaurant-Level Margin Q1</t>
        </is>
      </c>
      <c r="C14" s="17" t="n">
        <v>0.1</v>
      </c>
      <c r="D14" s="7" t="inlineStr">
        <is>
          <t>Q1 2026 8-K</t>
        </is>
      </c>
    </row>
    <row r="15" ht="18" customHeight="1">
      <c r="B15" s="8" t="inlineStr">
        <is>
          <t>Adj. EBITDA Q1 2026 ($M)</t>
        </is>
      </c>
      <c r="C15" s="14" t="n">
        <v>-8.1</v>
      </c>
      <c r="D15" s="10" t="inlineStr">
        <is>
          <t>Q1 2026 8-K</t>
        </is>
      </c>
    </row>
    <row r="16" ht="18" customHeight="1">
      <c r="B16" s="5" t="inlineStr">
        <is>
          <t>Cash + Restricted ($M)</t>
        </is>
      </c>
      <c r="C16" s="15" t="n">
        <v>160.9</v>
      </c>
      <c r="D16" s="7" t="inlineStr">
        <is>
          <t>Balance sheet</t>
        </is>
      </c>
    </row>
    <row r="17" ht="18" customHeight="1">
      <c r="B17" s="8" t="inlineStr">
        <is>
          <t>Wonder Group Investment ($M)</t>
        </is>
      </c>
      <c r="C17" s="14" t="n">
        <v>86.40000000000001</v>
      </c>
      <c r="D17" s="10" t="inlineStr">
        <is>
          <t>Balance sheet (illiquid)</t>
        </is>
      </c>
    </row>
    <row r="18" ht="18" customHeight="1">
      <c r="B18" s="5" t="inlineStr">
        <is>
          <t>Total Restaurants</t>
        </is>
      </c>
      <c r="C18" s="18" t="n">
        <v>285</v>
      </c>
      <c r="D18" s="7" t="inlineStr">
        <is>
          <t>Q1 2026</t>
        </is>
      </c>
    </row>
    <row r="19" ht="18" customHeight="1">
      <c r="B19" s="8" t="inlineStr">
        <is>
          <t>Infinite Kitchen Locations</t>
        </is>
      </c>
      <c r="C19" s="19" t="n">
        <v>33</v>
      </c>
      <c r="D19" s="10" t="inlineStr">
        <is>
          <t>Q1 2026</t>
        </is>
      </c>
    </row>
    <row r="20" ht="18" customHeight="1">
      <c r="B20" s="5" t="inlineStr">
        <is>
          <t>AUV (trailing, $K)</t>
        </is>
      </c>
      <c r="C20" s="11" t="n">
        <v>2572</v>
      </c>
      <c r="D20" s="7" t="inlineStr">
        <is>
          <t>Q1 2026</t>
        </is>
      </c>
    </row>
    <row r="21" ht="18" customHeight="1">
      <c r="B21" s="8" t="inlineStr">
        <is>
          <t>FY2026 SSS Guidance</t>
        </is>
      </c>
      <c r="C21" s="9" t="inlineStr">
        <is>
          <t>(4%) to (2%)</t>
        </is>
      </c>
      <c r="D21" s="10" t="inlineStr">
        <is>
          <t>Management guidance</t>
        </is>
      </c>
    </row>
    <row r="22" ht="18" customHeight="1">
      <c r="B22" s="5" t="inlineStr">
        <is>
          <t>FY2026 Adj. EBITDA Guidance</t>
        </is>
      </c>
      <c r="C22" s="6" t="inlineStr">
        <is>
          <t>$1M to $6M</t>
        </is>
      </c>
      <c r="D22" s="7" t="inlineStr">
        <is>
          <t>Management guidance</t>
        </is>
      </c>
    </row>
    <row r="23" ht="18" customHeight="1">
      <c r="B23" s="20" t="inlineStr">
        <is>
          <t>DCF Bull / Base / Bear ($/share)</t>
        </is>
      </c>
      <c r="C23" s="21">
        <f>TEXT(SG_Model!C96,"$0.00")&amp;" / "&amp;TEXT(SG_Model!D96,"$0.00")&amp;" / "&amp;TEXT(SG_Model!E96,"$0.00")</f>
        <v/>
      </c>
      <c r="D23" s="22" t="inlineStr">
        <is>
          <t>Cross-sheet link to SG_Model DCF prices</t>
        </is>
      </c>
    </row>
    <row r="25" ht="20" customHeight="1">
      <c r="B25" s="3" t="inlineStr">
        <is>
          <t xml:space="preserve">  TECHNICAL PRICE LEVELS (Finviz, June 5, 2026)</t>
        </is>
      </c>
    </row>
    <row r="26">
      <c r="B26" s="4" t="inlineStr">
        <is>
          <t>Indicator</t>
        </is>
      </c>
      <c r="C26" s="4" t="inlineStr">
        <is>
          <t>Price ($)</t>
        </is>
      </c>
      <c r="D26" s="4" t="inlineStr">
        <is>
          <t>Signal</t>
        </is>
      </c>
    </row>
    <row r="27">
      <c r="B27" s="5" t="inlineStr">
        <is>
          <t>SMA 20</t>
        </is>
      </c>
      <c r="C27" s="23" t="n">
        <v>8.35</v>
      </c>
      <c r="D27" s="24" t="inlineStr">
        <is>
          <t>Price BELOW 20-day — short-term bearish</t>
        </is>
      </c>
    </row>
    <row r="28">
      <c r="B28" s="8" t="inlineStr">
        <is>
          <t>SMA 50</t>
        </is>
      </c>
      <c r="C28" s="25" t="n">
        <v>7.08</v>
      </c>
      <c r="D28" s="26" t="inlineStr">
        <is>
          <t>Price ABOVE 50-day — near-term minor support</t>
        </is>
      </c>
    </row>
    <row r="29">
      <c r="B29" s="5" t="inlineStr">
        <is>
          <t>SMA 200</t>
        </is>
      </c>
      <c r="C29" s="23" t="n">
        <v>8.99</v>
      </c>
      <c r="D29" s="24" t="inlineStr">
        <is>
          <t>Price BELOW 200-day — long-term downtrend</t>
        </is>
      </c>
    </row>
    <row r="30">
      <c r="B30" s="27" t="inlineStr">
        <is>
          <t>Overall Technical Status</t>
        </is>
      </c>
      <c r="C30" s="28" t="inlineStr">
        <is>
          <t>BEARISH</t>
        </is>
      </c>
      <c r="D30" s="29" t="inlineStr">
        <is>
          <t>Below 20-day and 200-day SMAs — cautious near-term</t>
        </is>
      </c>
    </row>
    <row r="32" ht="20" customHeight="1">
      <c r="B32" s="3" t="inlineStr">
        <is>
          <t xml:space="preserve">  INVESTMENT THESIS SUMMARY</t>
        </is>
      </c>
    </row>
    <row r="33" ht="36" customHeight="1">
      <c r="B33" s="30" t="inlineStr">
        <is>
          <t>BULL CASE</t>
        </is>
      </c>
      <c r="C33" s="31" t="inlineStr">
        <is>
          <t>IK rollout drives margin recovery. New mgmt restores comps. Target: ~$11-12/share.</t>
        </is>
      </c>
      <c r="D33" s="32" t="n"/>
    </row>
    <row r="34" ht="36" customHeight="1">
      <c r="B34" s="33" t="inlineStr">
        <is>
          <t>BASE CASE</t>
        </is>
      </c>
      <c r="C34" s="31" t="inlineStr">
        <is>
          <t>SSS stabilizes at guidance. Slow margin recovery. Target: ~$5.47/share.</t>
        </is>
      </c>
      <c r="D34" s="32" t="n"/>
    </row>
    <row r="35" ht="36" customHeight="1">
      <c r="B35" s="34" t="inlineStr">
        <is>
          <t>BEAR CASE</t>
        </is>
      </c>
      <c r="C35" s="31" t="inlineStr">
        <is>
          <t>Comp erosion accelerates. Cash burn risk. Dilution risk. Target: ~$1.52/share.</t>
        </is>
      </c>
      <c r="D35" s="32" t="n"/>
    </row>
  </sheetData>
  <mergeCells count="7">
    <mergeCell ref="C34:D34"/>
    <mergeCell ref="C33:D33"/>
    <mergeCell ref="B1:D1"/>
    <mergeCell ref="B32:D32"/>
    <mergeCell ref="B4:D4"/>
    <mergeCell ref="B25:D25"/>
    <mergeCell ref="C35:D3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1:I1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B1" s="35" t="inlineStr">
        <is>
          <t>SWEETGREEN (SG) — FINANCIAL MODEL</t>
        </is>
      </c>
    </row>
    <row r="2">
      <c r="B2" s="36" t="inlineStr">
        <is>
          <t>Source: Sweetgreen Q1 2026 8-K (May 7, 2026), Q4 2025 8-K (Feb 26, 2026), SEC EDGAR CIK 0001477815</t>
        </is>
      </c>
    </row>
    <row r="4" ht="20" customHeight="1">
      <c r="B4" s="3" t="inlineStr">
        <is>
          <t>SECTION A: HISTORICAL FINANCIALS  ($M unless noted)</t>
        </is>
      </c>
    </row>
    <row r="5">
      <c r="B5" s="37" t="inlineStr">
        <is>
          <t>Metric</t>
        </is>
      </c>
      <c r="C5" s="4" t="inlineStr">
        <is>
          <t>FY2024</t>
        </is>
      </c>
      <c r="D5" s="4" t="inlineStr">
        <is>
          <t>FY2025</t>
        </is>
      </c>
      <c r="E5" s="4" t="inlineStr">
        <is>
          <t>Q1 2025</t>
        </is>
      </c>
      <c r="F5" s="4" t="inlineStr">
        <is>
          <t>Q2 2025</t>
        </is>
      </c>
      <c r="G5" s="4" t="inlineStr">
        <is>
          <t>Q3 2025</t>
        </is>
      </c>
      <c r="H5" s="4" t="inlineStr">
        <is>
          <t>Q4 2025</t>
        </is>
      </c>
      <c r="I5" s="4" t="inlineStr">
        <is>
          <t>Q1 2026</t>
        </is>
      </c>
    </row>
    <row r="6">
      <c r="B6" s="38" t="inlineStr">
        <is>
          <t>Total Revenue ($M)</t>
        </is>
      </c>
      <c r="C6" s="39" t="n">
        <v>676.8</v>
      </c>
      <c r="D6" s="39" t="n">
        <v>679.5</v>
      </c>
      <c r="E6" s="39" t="n">
        <v>166.3</v>
      </c>
      <c r="F6" s="39" t="n">
        <v>185.6</v>
      </c>
      <c r="G6" s="39" t="n">
        <v>172.4</v>
      </c>
      <c r="H6" s="39" t="n">
        <v>155.2</v>
      </c>
      <c r="I6" s="39" t="n">
        <v>161.5</v>
      </c>
    </row>
    <row r="7">
      <c r="B7" s="40" t="inlineStr">
        <is>
          <t xml:space="preserve">  YoY Revenue Growth %</t>
        </is>
      </c>
      <c r="C7" s="41" t="n"/>
      <c r="D7" s="42">
        <f>IF(C6=0,0,D6/C6-1)</f>
        <v/>
      </c>
      <c r="F7" s="41" t="n"/>
      <c r="G7" s="41" t="n"/>
      <c r="H7" s="41" t="n"/>
      <c r="I7" s="42">
        <f>IF(E6=0,0,I6/E6-1)</f>
        <v/>
      </c>
    </row>
    <row r="8">
      <c r="B8" s="43" t="inlineStr">
        <is>
          <t>Same-Store Sales Change %</t>
        </is>
      </c>
      <c r="C8" s="44" t="n">
        <v>0.062</v>
      </c>
      <c r="D8" s="44" t="n">
        <v>-0.079</v>
      </c>
      <c r="E8" s="44" t="n">
        <v>-0.031</v>
      </c>
      <c r="F8" s="44" t="n">
        <v>-0.05</v>
      </c>
      <c r="G8" s="44" t="n">
        <v>-0.08</v>
      </c>
      <c r="H8" s="44" t="n">
        <v>-0.115</v>
      </c>
      <c r="I8" s="44" t="n">
        <v>-0.128</v>
      </c>
    </row>
    <row r="9">
      <c r="B9" s="43" t="inlineStr">
        <is>
          <t>Restaurant-Level Profit ($M)</t>
        </is>
      </c>
      <c r="C9" s="39" t="n">
        <v>114</v>
      </c>
      <c r="D9" s="39" t="n">
        <v>82</v>
      </c>
      <c r="E9" s="39" t="n">
        <v>29.7</v>
      </c>
      <c r="F9" s="39" t="n">
        <v>25</v>
      </c>
      <c r="G9" s="39" t="n">
        <v>20</v>
      </c>
      <c r="H9" s="39" t="n">
        <v>16.2</v>
      </c>
      <c r="I9" s="39" t="n">
        <v>16.2</v>
      </c>
    </row>
    <row r="10">
      <c r="B10" s="40" t="inlineStr">
        <is>
          <t xml:space="preserve">  Restaurant-Level Margin %</t>
        </is>
      </c>
      <c r="C10" s="42">
        <f>IF(C6=0,0,C9/C6)</f>
        <v/>
      </c>
      <c r="D10" s="42">
        <f>IF(D6=0,0,D9/D6)</f>
        <v/>
      </c>
      <c r="E10" s="42">
        <f>IF(E6=0,0,E9/E6)</f>
        <v/>
      </c>
      <c r="F10" s="42">
        <f>IF(F6=0,0,F9/F6)</f>
        <v/>
      </c>
      <c r="G10" s="42">
        <f>IF(G6=0,0,G9/G6)</f>
        <v/>
      </c>
      <c r="H10" s="42">
        <f>IF(H6=0,0,H9/H6)</f>
        <v/>
      </c>
      <c r="I10" s="42">
        <f>IF(I6=0,0,I9/I6)</f>
        <v/>
      </c>
    </row>
    <row r="11">
      <c r="B11" s="43" t="inlineStr">
        <is>
          <t>Adj. EBITDA ($M)</t>
        </is>
      </c>
      <c r="C11" s="39" t="n">
        <v>0</v>
      </c>
      <c r="D11" s="39" t="n">
        <v>-20</v>
      </c>
      <c r="E11" s="39" t="n">
        <v>0.3</v>
      </c>
      <c r="F11" s="39" t="n">
        <v>-3</v>
      </c>
      <c r="G11" s="39" t="n">
        <v>-4</v>
      </c>
      <c r="H11" s="39" t="n">
        <v>-13.3</v>
      </c>
      <c r="I11" s="39" t="n">
        <v>-8.1</v>
      </c>
    </row>
    <row r="12">
      <c r="B12" s="40" t="inlineStr">
        <is>
          <t xml:space="preserve">  Adj. EBITDA Margin %</t>
        </is>
      </c>
      <c r="C12" s="42">
        <f>IF(C6=0,0,C11/C6)</f>
        <v/>
      </c>
      <c r="D12" s="42">
        <f>IF(D6=0,0,D11/D6)</f>
        <v/>
      </c>
      <c r="E12" s="42">
        <f>IF(E6=0,0,E11/E6)</f>
        <v/>
      </c>
      <c r="F12" s="42">
        <f>IF(F6=0,0,F11/F6)</f>
        <v/>
      </c>
      <c r="G12" s="42">
        <f>IF(G6=0,0,G11/G6)</f>
        <v/>
      </c>
      <c r="H12" s="42">
        <f>IF(H6=0,0,H11/H6)</f>
        <v/>
      </c>
      <c r="I12" s="42">
        <f>IF(I6=0,0,I11/I6)</f>
        <v/>
      </c>
    </row>
    <row r="13">
      <c r="B13" s="43" t="inlineStr">
        <is>
          <t>Total Restaurants (end of period)</t>
        </is>
      </c>
      <c r="C13" s="45" t="n">
        <v>246</v>
      </c>
      <c r="D13" s="45" t="n">
        <v>281</v>
      </c>
      <c r="E13" s="45" t="n">
        <v>251</v>
      </c>
      <c r="F13" s="45" t="n">
        <v>261</v>
      </c>
      <c r="G13" s="45" t="n">
        <v>271</v>
      </c>
      <c r="H13" s="45" t="n">
        <v>281</v>
      </c>
      <c r="I13" s="45" t="n">
        <v>285</v>
      </c>
    </row>
    <row r="14">
      <c r="B14" s="43" t="inlineStr">
        <is>
          <t>Infinite Kitchen Locations</t>
        </is>
      </c>
      <c r="C14" s="45" t="n">
        <v>10</v>
      </c>
      <c r="D14" s="45" t="n">
        <v>27</v>
      </c>
      <c r="E14" s="45" t="n">
        <v>18</v>
      </c>
      <c r="F14" s="45" t="n">
        <v>22</v>
      </c>
      <c r="G14" s="45" t="n">
        <v>25</v>
      </c>
      <c r="H14" s="45" t="n">
        <v>27</v>
      </c>
      <c r="I14" s="45" t="n">
        <v>33</v>
      </c>
    </row>
    <row r="15">
      <c r="B15" s="43" t="inlineStr">
        <is>
          <t>AUV ($K, trailing)</t>
        </is>
      </c>
      <c r="C15" s="46" t="n">
        <v>2900</v>
      </c>
      <c r="D15" s="46" t="n">
        <v>2800</v>
      </c>
      <c r="E15" s="46" t="n">
        <v>2907</v>
      </c>
      <c r="F15" s="46" t="n">
        <v>2800</v>
      </c>
      <c r="G15" s="46" t="n">
        <v>2700</v>
      </c>
      <c r="H15" s="46" t="n">
        <v>2600</v>
      </c>
      <c r="I15" s="46" t="n">
        <v>2572</v>
      </c>
    </row>
    <row r="17" ht="20" customHeight="1">
      <c r="B17" s="3" t="inlineStr">
        <is>
          <t>SECTION B: REVENUE &amp; EBITDA PROJECTIONS (FY2026-FY2030)  |  THREE SCENARIOS</t>
        </is>
      </c>
    </row>
    <row r="18" ht="28" customHeight="1">
      <c r="B18" s="47" t="inlineStr">
        <is>
          <t>NOTE: FY2026 base revenue = $655M (derived from guidance: SSS -4% to -2% + ~13 new restaurants). Blue = hardcoded inputs. Black = formulas. Green = cross-sheet links.</t>
        </is>
      </c>
    </row>
    <row r="19">
      <c r="B19" s="48" t="inlineStr">
        <is>
          <t>REVENUE GROWTH ASSUMPTIONS (annual %, from $655M FY2026 guidance base — YoY% vs. FY2025 will differ)</t>
        </is>
      </c>
    </row>
    <row r="20">
      <c r="B20" s="4" t="inlineStr">
        <is>
          <t>Year</t>
        </is>
      </c>
      <c r="C20" s="4" t="inlineStr">
        <is>
          <t>Bull Case</t>
        </is>
      </c>
      <c r="D20" s="4" t="inlineStr">
        <is>
          <t>Base Case</t>
        </is>
      </c>
      <c r="E20" s="4" t="inlineStr">
        <is>
          <t>Bear Case</t>
        </is>
      </c>
    </row>
    <row r="21">
      <c r="B21" s="38" t="inlineStr">
        <is>
          <t>FY2026</t>
        </is>
      </c>
      <c r="C21" s="44" t="n">
        <v>0</v>
      </c>
      <c r="D21" s="44" t="n">
        <v>-0.03</v>
      </c>
      <c r="E21" s="44" t="n">
        <v>-0.05</v>
      </c>
    </row>
    <row r="22">
      <c r="B22" s="38" t="inlineStr">
        <is>
          <t>FY2027</t>
        </is>
      </c>
      <c r="C22" s="44" t="n">
        <v>0.08</v>
      </c>
      <c r="D22" s="44" t="n">
        <v>0.04</v>
      </c>
      <c r="E22" s="44" t="n">
        <v>-0.02</v>
      </c>
    </row>
    <row r="23">
      <c r="B23" s="38" t="inlineStr">
        <is>
          <t>FY2028</t>
        </is>
      </c>
      <c r="C23" s="44" t="n">
        <v>0.11</v>
      </c>
      <c r="D23" s="44" t="n">
        <v>0.04</v>
      </c>
      <c r="E23" s="44" t="n">
        <v>-0.02</v>
      </c>
    </row>
    <row r="24">
      <c r="B24" s="38" t="inlineStr">
        <is>
          <t>FY2029</t>
        </is>
      </c>
      <c r="C24" s="44" t="n">
        <v>0.11</v>
      </c>
      <c r="D24" s="44" t="n">
        <v>0.04</v>
      </c>
      <c r="E24" s="44" t="n">
        <v>0.01</v>
      </c>
    </row>
    <row r="25">
      <c r="B25" s="38" t="inlineStr">
        <is>
          <t>FY2030</t>
        </is>
      </c>
      <c r="C25" s="44" t="n">
        <v>0.1</v>
      </c>
      <c r="D25" s="44" t="n">
        <v>0.04</v>
      </c>
      <c r="E25" s="44" t="n">
        <v>0.02</v>
      </c>
    </row>
    <row r="27">
      <c r="B27" s="48" t="inlineStr">
        <is>
          <t>RESTAURANT-LEVEL MARGIN ASSUMPTIONS (%)</t>
        </is>
      </c>
    </row>
    <row r="28">
      <c r="B28" s="4" t="inlineStr">
        <is>
          <t>Year</t>
        </is>
      </c>
      <c r="C28" s="4" t="inlineStr">
        <is>
          <t>Bull Case</t>
        </is>
      </c>
      <c r="D28" s="4" t="inlineStr">
        <is>
          <t>Base Case</t>
        </is>
      </c>
      <c r="E28" s="4" t="inlineStr">
        <is>
          <t>Bear Case</t>
        </is>
      </c>
    </row>
    <row r="29">
      <c r="B29" s="38" t="inlineStr">
        <is>
          <t>FY2026</t>
        </is>
      </c>
      <c r="C29" s="44" t="n">
        <v>0.145</v>
      </c>
      <c r="D29" s="44" t="n">
        <v>0.143</v>
      </c>
      <c r="E29" s="44" t="n">
        <v>0.12</v>
      </c>
    </row>
    <row r="30">
      <c r="B30" s="38" t="inlineStr">
        <is>
          <t>FY2027</t>
        </is>
      </c>
      <c r="C30" s="44" t="n">
        <v>0.18</v>
      </c>
      <c r="D30" s="44" t="n">
        <v>0.15</v>
      </c>
      <c r="E30" s="44" t="n">
        <v>0.125</v>
      </c>
    </row>
    <row r="31">
      <c r="B31" s="38" t="inlineStr">
        <is>
          <t>FY2028</t>
        </is>
      </c>
      <c r="C31" s="44" t="n">
        <v>0.21</v>
      </c>
      <c r="D31" s="44" t="n">
        <v>0.16</v>
      </c>
      <c r="E31" s="44" t="n">
        <v>0.13</v>
      </c>
    </row>
    <row r="32">
      <c r="B32" s="38" t="inlineStr">
        <is>
          <t>FY2029</t>
        </is>
      </c>
      <c r="C32" s="44" t="n">
        <v>0.23</v>
      </c>
      <c r="D32" s="44" t="n">
        <v>0.17</v>
      </c>
      <c r="E32" s="44" t="n">
        <v>0.135</v>
      </c>
    </row>
    <row r="33">
      <c r="B33" s="38" t="inlineStr">
        <is>
          <t>FY2030</t>
        </is>
      </c>
      <c r="C33" s="44" t="n">
        <v>0.25</v>
      </c>
      <c r="D33" s="44" t="n">
        <v>0.175</v>
      </c>
      <c r="E33" s="44" t="n">
        <v>0.14</v>
      </c>
    </row>
    <row r="35">
      <c r="B35" s="48" t="inlineStr">
        <is>
          <t>G&amp;A AS % OF REVENUE (declining with scale)</t>
        </is>
      </c>
    </row>
    <row r="36">
      <c r="B36" s="4" t="inlineStr">
        <is>
          <t>Year</t>
        </is>
      </c>
      <c r="C36" s="4" t="inlineStr">
        <is>
          <t>Bull Case</t>
        </is>
      </c>
      <c r="D36" s="4" t="inlineStr">
        <is>
          <t>Base Case</t>
        </is>
      </c>
      <c r="E36" s="4" t="inlineStr">
        <is>
          <t>Bear Case</t>
        </is>
      </c>
    </row>
    <row r="37">
      <c r="B37" s="38" t="inlineStr">
        <is>
          <t>FY2026</t>
        </is>
      </c>
      <c r="C37" s="44" t="n">
        <v>0.17</v>
      </c>
      <c r="D37" s="44" t="n">
        <v>0.18</v>
      </c>
      <c r="E37" s="44" t="n">
        <v>0.19</v>
      </c>
    </row>
    <row r="38">
      <c r="B38" s="38" t="inlineStr">
        <is>
          <t>FY2027</t>
        </is>
      </c>
      <c r="C38" s="44" t="n">
        <v>0.15</v>
      </c>
      <c r="D38" s="44" t="n">
        <v>0.17</v>
      </c>
      <c r="E38" s="44" t="n">
        <v>0.19</v>
      </c>
    </row>
    <row r="39">
      <c r="B39" s="38" t="inlineStr">
        <is>
          <t>FY2028</t>
        </is>
      </c>
      <c r="C39" s="44" t="n">
        <v>0.13</v>
      </c>
      <c r="D39" s="44" t="n">
        <v>0.16</v>
      </c>
      <c r="E39" s="44" t="n">
        <v>0.18</v>
      </c>
    </row>
    <row r="40">
      <c r="B40" s="38" t="inlineStr">
        <is>
          <t>FY2029</t>
        </is>
      </c>
      <c r="C40" s="44" t="n">
        <v>0.12</v>
      </c>
      <c r="D40" s="44" t="n">
        <v>0.15</v>
      </c>
      <c r="E40" s="44" t="n">
        <v>0.18</v>
      </c>
    </row>
    <row r="41">
      <c r="B41" s="38" t="inlineStr">
        <is>
          <t>FY2030</t>
        </is>
      </c>
      <c r="C41" s="44" t="n">
        <v>0.11</v>
      </c>
      <c r="D41" s="44" t="n">
        <v>0.14</v>
      </c>
      <c r="E41" s="44" t="n">
        <v>0.17</v>
      </c>
    </row>
    <row r="43">
      <c r="B43" s="38" t="inlineStr">
        <is>
          <t>FY2026 Base Starting Revenue ($M):</t>
        </is>
      </c>
      <c r="C43" s="39" t="n">
        <v>655</v>
      </c>
    </row>
    <row r="45">
      <c r="B45" s="49" t="inlineStr">
        <is>
          <t xml:space="preserve">  PROJECTED FINANCIALS - BULL CASE ($M)</t>
        </is>
      </c>
    </row>
    <row r="46">
      <c r="B46" s="4" t="inlineStr">
        <is>
          <t>Metric</t>
        </is>
      </c>
      <c r="C46" s="4" t="inlineStr">
        <is>
          <t>FY2026</t>
        </is>
      </c>
      <c r="D46" s="4" t="inlineStr">
        <is>
          <t>FY2027</t>
        </is>
      </c>
      <c r="E46" s="4" t="inlineStr">
        <is>
          <t>FY2028</t>
        </is>
      </c>
      <c r="F46" s="4" t="inlineStr">
        <is>
          <t>FY2029</t>
        </is>
      </c>
      <c r="G46" s="4" t="inlineStr">
        <is>
          <t>FY2030</t>
        </is>
      </c>
    </row>
    <row r="47">
      <c r="B47" s="38" t="inlineStr">
        <is>
          <t>Revenue ($M)</t>
        </is>
      </c>
      <c r="C47" s="50">
        <f>C43*(1+C21)</f>
        <v/>
      </c>
      <c r="D47" s="50">
        <f>C47*(1+C22)</f>
        <v/>
      </c>
      <c r="E47" s="50">
        <f>D47*(1+C23)</f>
        <v/>
      </c>
      <c r="F47" s="50">
        <f>E47*(1+C24)</f>
        <v/>
      </c>
      <c r="G47" s="50">
        <f>F47*(1+C25)</f>
        <v/>
      </c>
    </row>
    <row r="48">
      <c r="B48" s="40" t="inlineStr">
        <is>
          <t xml:space="preserve">  YoY Growth %</t>
        </is>
      </c>
      <c r="C48" s="42">
        <f>IF(D6=0,0,C47/D6-1)</f>
        <v/>
      </c>
      <c r="D48" s="42">
        <f>IF(C47=0,0,D47/C47-1)</f>
        <v/>
      </c>
      <c r="E48" s="42">
        <f>IF(D47=0,0,E47/D47-1)</f>
        <v/>
      </c>
      <c r="F48" s="42">
        <f>IF(E47=0,0,F47/E47-1)</f>
        <v/>
      </c>
      <c r="G48" s="42">
        <f>IF(F47=0,0,G47/F47-1)</f>
        <v/>
      </c>
    </row>
    <row r="49">
      <c r="B49" s="43" t="inlineStr">
        <is>
          <t>Restaurant-Level Profit ($M)</t>
        </is>
      </c>
      <c r="C49" s="50">
        <f>C47*C29</f>
        <v/>
      </c>
      <c r="D49" s="50">
        <f>D47*C30</f>
        <v/>
      </c>
      <c r="E49" s="50">
        <f>E47*C31</f>
        <v/>
      </c>
      <c r="F49" s="50">
        <f>F47*C32</f>
        <v/>
      </c>
      <c r="G49" s="50">
        <f>G47*C33</f>
        <v/>
      </c>
    </row>
    <row r="50">
      <c r="B50" s="40" t="inlineStr">
        <is>
          <t xml:space="preserve">  Restaurant-Level Margin %</t>
        </is>
      </c>
      <c r="C50" s="42">
        <f>C29</f>
        <v/>
      </c>
      <c r="D50" s="42">
        <f>C30</f>
        <v/>
      </c>
      <c r="E50" s="42">
        <f>C31</f>
        <v/>
      </c>
      <c r="F50" s="42">
        <f>C32</f>
        <v/>
      </c>
      <c r="G50" s="42">
        <f>C33</f>
        <v/>
      </c>
    </row>
    <row r="51">
      <c r="B51" s="43" t="inlineStr">
        <is>
          <t>G&amp;A Expense ($M)</t>
        </is>
      </c>
      <c r="C51" s="50">
        <f>C47*C37</f>
        <v/>
      </c>
      <c r="D51" s="50">
        <f>D47*C38</f>
        <v/>
      </c>
      <c r="E51" s="50">
        <f>E47*C39</f>
        <v/>
      </c>
      <c r="F51" s="50">
        <f>F47*C40</f>
        <v/>
      </c>
      <c r="G51" s="50">
        <f>G47*C41</f>
        <v/>
      </c>
    </row>
    <row r="52">
      <c r="B52" s="40" t="inlineStr">
        <is>
          <t xml:space="preserve">  G&amp;A % of Revenue</t>
        </is>
      </c>
      <c r="C52" s="42">
        <f>C37</f>
        <v/>
      </c>
      <c r="D52" s="42">
        <f>C38</f>
        <v/>
      </c>
      <c r="E52" s="42">
        <f>C39</f>
        <v/>
      </c>
      <c r="F52" s="42">
        <f>C40</f>
        <v/>
      </c>
      <c r="G52" s="42">
        <f>C41</f>
        <v/>
      </c>
    </row>
    <row r="53">
      <c r="B53" s="38" t="inlineStr">
        <is>
          <t>Adj. EBITDA ($M)</t>
        </is>
      </c>
      <c r="C53" s="51">
        <f>C49-C51</f>
        <v/>
      </c>
      <c r="D53" s="51">
        <f>D49-D51</f>
        <v/>
      </c>
      <c r="E53" s="51">
        <f>E49-E51</f>
        <v/>
      </c>
      <c r="F53" s="51">
        <f>F49-F51</f>
        <v/>
      </c>
      <c r="G53" s="51">
        <f>G49-G51</f>
        <v/>
      </c>
    </row>
    <row r="54">
      <c r="B54" s="40" t="inlineStr">
        <is>
          <t xml:space="preserve">  Adj. EBITDA Margin %</t>
        </is>
      </c>
      <c r="C54" s="42">
        <f>IF(C47=0,0,C53/C47)</f>
        <v/>
      </c>
      <c r="D54" s="42">
        <f>IF(D47=0,0,D53/D47)</f>
        <v/>
      </c>
      <c r="E54" s="42">
        <f>IF(E47=0,0,E53/E47)</f>
        <v/>
      </c>
      <c r="F54" s="42">
        <f>IF(F47=0,0,F53/F47)</f>
        <v/>
      </c>
      <c r="G54" s="42">
        <f>IF(G47=0,0,G53/G47)</f>
        <v/>
      </c>
    </row>
    <row r="56">
      <c r="B56" s="52" t="inlineStr">
        <is>
          <t xml:space="preserve">  PROJECTED FINANCIALS - BASE CASE ($M)</t>
        </is>
      </c>
    </row>
    <row r="57">
      <c r="B57" s="4" t="inlineStr">
        <is>
          <t>Metric</t>
        </is>
      </c>
      <c r="C57" s="4" t="inlineStr">
        <is>
          <t>FY2026</t>
        </is>
      </c>
      <c r="D57" s="4" t="inlineStr">
        <is>
          <t>FY2027</t>
        </is>
      </c>
      <c r="E57" s="4" t="inlineStr">
        <is>
          <t>FY2028</t>
        </is>
      </c>
      <c r="F57" s="4" t="inlineStr">
        <is>
          <t>FY2029</t>
        </is>
      </c>
      <c r="G57" s="4" t="inlineStr">
        <is>
          <t>FY2030</t>
        </is>
      </c>
    </row>
    <row r="58">
      <c r="B58" s="38" t="inlineStr">
        <is>
          <t>Revenue ($M)</t>
        </is>
      </c>
      <c r="C58" s="50">
        <f>C43*(1+D21)</f>
        <v/>
      </c>
      <c r="D58" s="50">
        <f>C58*(1+D22)</f>
        <v/>
      </c>
      <c r="E58" s="50">
        <f>D58*(1+D23)</f>
        <v/>
      </c>
      <c r="F58" s="50">
        <f>E58*(1+D24)</f>
        <v/>
      </c>
      <c r="G58" s="50">
        <f>F58*(1+D25)</f>
        <v/>
      </c>
    </row>
    <row r="59">
      <c r="B59" s="40" t="inlineStr">
        <is>
          <t xml:space="preserve">  YoY Growth %</t>
        </is>
      </c>
      <c r="C59" s="42">
        <f>IF(D6=0,0,C58/D6-1)</f>
        <v/>
      </c>
      <c r="D59" s="42">
        <f>IF(C58=0,0,D58/C58-1)</f>
        <v/>
      </c>
      <c r="E59" s="42">
        <f>IF(D58=0,0,E58/D58-1)</f>
        <v/>
      </c>
      <c r="F59" s="42">
        <f>IF(E58=0,0,F58/E58-1)</f>
        <v/>
      </c>
      <c r="G59" s="42">
        <f>IF(F58=0,0,G58/F58-1)</f>
        <v/>
      </c>
    </row>
    <row r="60">
      <c r="B60" s="43" t="inlineStr">
        <is>
          <t>Restaurant-Level Profit ($M)</t>
        </is>
      </c>
      <c r="C60" s="50">
        <f>C58*D29</f>
        <v/>
      </c>
      <c r="D60" s="50">
        <f>D58*D30</f>
        <v/>
      </c>
      <c r="E60" s="50">
        <f>E58*D31</f>
        <v/>
      </c>
      <c r="F60" s="50">
        <f>F58*D32</f>
        <v/>
      </c>
      <c r="G60" s="50">
        <f>G58*D33</f>
        <v/>
      </c>
    </row>
    <row r="61">
      <c r="B61" s="40" t="inlineStr">
        <is>
          <t xml:space="preserve">  Restaurant-Level Margin %</t>
        </is>
      </c>
      <c r="C61" s="42">
        <f>D29</f>
        <v/>
      </c>
      <c r="D61" s="42">
        <f>D30</f>
        <v/>
      </c>
      <c r="E61" s="42">
        <f>D31</f>
        <v/>
      </c>
      <c r="F61" s="42">
        <f>D32</f>
        <v/>
      </c>
      <c r="G61" s="42">
        <f>D33</f>
        <v/>
      </c>
    </row>
    <row r="62">
      <c r="B62" s="43" t="inlineStr">
        <is>
          <t>G&amp;A Expense ($M)</t>
        </is>
      </c>
      <c r="C62" s="50">
        <f>C58*D37</f>
        <v/>
      </c>
      <c r="D62" s="50">
        <f>D58*D38</f>
        <v/>
      </c>
      <c r="E62" s="50">
        <f>E58*D39</f>
        <v/>
      </c>
      <c r="F62" s="50">
        <f>F58*D40</f>
        <v/>
      </c>
      <c r="G62" s="50">
        <f>G58*D41</f>
        <v/>
      </c>
    </row>
    <row r="63">
      <c r="B63" s="40" t="inlineStr">
        <is>
          <t xml:space="preserve">  G&amp;A % of Revenue</t>
        </is>
      </c>
      <c r="C63" s="42">
        <f>D37</f>
        <v/>
      </c>
      <c r="D63" s="42">
        <f>D38</f>
        <v/>
      </c>
      <c r="E63" s="42">
        <f>D39</f>
        <v/>
      </c>
      <c r="F63" s="42">
        <f>D40</f>
        <v/>
      </c>
      <c r="G63" s="42">
        <f>D41</f>
        <v/>
      </c>
    </row>
    <row r="64">
      <c r="B64" s="38" t="inlineStr">
        <is>
          <t>Adj. EBITDA ($M)</t>
        </is>
      </c>
      <c r="C64" s="51">
        <f>C60-C62</f>
        <v/>
      </c>
      <c r="D64" s="51">
        <f>D60-D62</f>
        <v/>
      </c>
      <c r="E64" s="51">
        <f>E60-E62</f>
        <v/>
      </c>
      <c r="F64" s="51">
        <f>F60-F62</f>
        <v/>
      </c>
      <c r="G64" s="51">
        <f>G60-G62</f>
        <v/>
      </c>
    </row>
    <row r="65">
      <c r="B65" s="40" t="inlineStr">
        <is>
          <t xml:space="preserve">  Adj. EBITDA Margin %</t>
        </is>
      </c>
      <c r="C65" s="42">
        <f>IF(C58=0,0,C64/C58)</f>
        <v/>
      </c>
      <c r="D65" s="42">
        <f>IF(D58=0,0,D64/D58)</f>
        <v/>
      </c>
      <c r="E65" s="42">
        <f>IF(E58=0,0,E64/E58)</f>
        <v/>
      </c>
      <c r="F65" s="42">
        <f>IF(F58=0,0,F64/F58)</f>
        <v/>
      </c>
      <c r="G65" s="42">
        <f>IF(G58=0,0,G64/G58)</f>
        <v/>
      </c>
    </row>
    <row r="67">
      <c r="B67" s="53" t="inlineStr">
        <is>
          <t xml:space="preserve">  PROJECTED FINANCIALS - BEAR CASE ($M)</t>
        </is>
      </c>
    </row>
    <row r="68">
      <c r="B68" s="4" t="inlineStr">
        <is>
          <t>Metric</t>
        </is>
      </c>
      <c r="C68" s="4" t="inlineStr">
        <is>
          <t>FY2026</t>
        </is>
      </c>
      <c r="D68" s="4" t="inlineStr">
        <is>
          <t>FY2027</t>
        </is>
      </c>
      <c r="E68" s="4" t="inlineStr">
        <is>
          <t>FY2028</t>
        </is>
      </c>
      <c r="F68" s="4" t="inlineStr">
        <is>
          <t>FY2029</t>
        </is>
      </c>
      <c r="G68" s="4" t="inlineStr">
        <is>
          <t>FY2030</t>
        </is>
      </c>
    </row>
    <row r="69">
      <c r="B69" s="38" t="inlineStr">
        <is>
          <t>Revenue ($M)</t>
        </is>
      </c>
      <c r="C69" s="50">
        <f>C43*(1+E21)</f>
        <v/>
      </c>
      <c r="D69" s="50">
        <f>C69*(1+E22)</f>
        <v/>
      </c>
      <c r="E69" s="50">
        <f>D69*(1+E23)</f>
        <v/>
      </c>
      <c r="F69" s="50">
        <f>E69*(1+E24)</f>
        <v/>
      </c>
      <c r="G69" s="50">
        <f>F69*(1+E25)</f>
        <v/>
      </c>
    </row>
    <row r="70">
      <c r="B70" s="40" t="inlineStr">
        <is>
          <t xml:space="preserve">  YoY Growth %</t>
        </is>
      </c>
      <c r="C70" s="42">
        <f>IF(D6=0,0,C69/D6-1)</f>
        <v/>
      </c>
      <c r="D70" s="42">
        <f>IF(C69=0,0,D69/C69-1)</f>
        <v/>
      </c>
      <c r="E70" s="42">
        <f>IF(D69=0,0,E69/D69-1)</f>
        <v/>
      </c>
      <c r="F70" s="42">
        <f>IF(E69=0,0,F69/E69-1)</f>
        <v/>
      </c>
      <c r="G70" s="42">
        <f>IF(F69=0,0,G69/F69-1)</f>
        <v/>
      </c>
    </row>
    <row r="71">
      <c r="B71" s="43" t="inlineStr">
        <is>
          <t>Restaurant-Level Profit ($M)</t>
        </is>
      </c>
      <c r="C71" s="50">
        <f>C69*E29</f>
        <v/>
      </c>
      <c r="D71" s="50">
        <f>D69*E30</f>
        <v/>
      </c>
      <c r="E71" s="50">
        <f>E69*E31</f>
        <v/>
      </c>
      <c r="F71" s="50">
        <f>F69*E32</f>
        <v/>
      </c>
      <c r="G71" s="50">
        <f>G69*E33</f>
        <v/>
      </c>
    </row>
    <row r="72">
      <c r="B72" s="40" t="inlineStr">
        <is>
          <t xml:space="preserve">  Restaurant-Level Margin %</t>
        </is>
      </c>
      <c r="C72" s="42">
        <f>E29</f>
        <v/>
      </c>
      <c r="D72" s="42">
        <f>E30</f>
        <v/>
      </c>
      <c r="E72" s="42">
        <f>E31</f>
        <v/>
      </c>
      <c r="F72" s="42">
        <f>E32</f>
        <v/>
      </c>
      <c r="G72" s="42">
        <f>E33</f>
        <v/>
      </c>
    </row>
    <row r="73">
      <c r="B73" s="43" t="inlineStr">
        <is>
          <t>G&amp;A Expense ($M)</t>
        </is>
      </c>
      <c r="C73" s="50">
        <f>C69*E37</f>
        <v/>
      </c>
      <c r="D73" s="50">
        <f>D69*E38</f>
        <v/>
      </c>
      <c r="E73" s="50">
        <f>E69*E39</f>
        <v/>
      </c>
      <c r="F73" s="50">
        <f>F69*E40</f>
        <v/>
      </c>
      <c r="G73" s="50">
        <f>G69*E41</f>
        <v/>
      </c>
    </row>
    <row r="74">
      <c r="B74" s="40" t="inlineStr">
        <is>
          <t xml:space="preserve">  G&amp;A % of Revenue</t>
        </is>
      </c>
      <c r="C74" s="42">
        <f>E37</f>
        <v/>
      </c>
      <c r="D74" s="42">
        <f>E38</f>
        <v/>
      </c>
      <c r="E74" s="42">
        <f>E39</f>
        <v/>
      </c>
      <c r="F74" s="42">
        <f>E40</f>
        <v/>
      </c>
      <c r="G74" s="42">
        <f>E41</f>
        <v/>
      </c>
    </row>
    <row r="75">
      <c r="B75" s="38" t="inlineStr">
        <is>
          <t>Adj. EBITDA ($M)</t>
        </is>
      </c>
      <c r="C75" s="51">
        <f>C71-C73</f>
        <v/>
      </c>
      <c r="D75" s="51">
        <f>D71-D73</f>
        <v/>
      </c>
      <c r="E75" s="51">
        <f>E71-E73</f>
        <v/>
      </c>
      <c r="F75" s="51">
        <f>F71-F73</f>
        <v/>
      </c>
      <c r="G75" s="51">
        <f>G71-G73</f>
        <v/>
      </c>
    </row>
    <row r="76">
      <c r="B76" s="40" t="inlineStr">
        <is>
          <t xml:space="preserve">  Adj. EBITDA Margin %</t>
        </is>
      </c>
      <c r="C76" s="42">
        <f>IF(C69=0,0,C75/C69)</f>
        <v/>
      </c>
      <c r="D76" s="42">
        <f>IF(D69=0,0,D75/D69)</f>
        <v/>
      </c>
      <c r="E76" s="42">
        <f>IF(E69=0,0,E75/E69)</f>
        <v/>
      </c>
      <c r="F76" s="42">
        <f>IF(F69=0,0,F75/F69)</f>
        <v/>
      </c>
      <c r="G76" s="42">
        <f>IF(G69=0,0,G75/G69)</f>
        <v/>
      </c>
    </row>
    <row r="78" ht="20" customHeight="1">
      <c r="B78" s="3" t="inlineStr">
        <is>
          <t>SECTION C: DCF VALUATION (EV/EBITDA Terminal Multiple Approach)</t>
        </is>
      </c>
    </row>
    <row r="79" ht="32" customHeight="1">
      <c r="B79" s="47" t="inlineStr">
        <is>
          <t>NOTE: Standard FCF DCF not used - company is pre-EBITDA through FY2026. Using EV/EBITDA terminal multiple approach with revenue-based cross-check. Terminal value based on FY2030 EBITDA x exit multiple, discounted back 5 years.</t>
        </is>
      </c>
    </row>
    <row r="80">
      <c r="B80" s="4" t="inlineStr">
        <is>
          <t>DCF Assumption</t>
        </is>
      </c>
      <c r="C80" s="4" t="inlineStr">
        <is>
          <t>Bull Case</t>
        </is>
      </c>
      <c r="D80" s="4" t="inlineStr">
        <is>
          <t>Base Case</t>
        </is>
      </c>
      <c r="E80" s="4" t="inlineStr">
        <is>
          <t>Bear Case</t>
        </is>
      </c>
    </row>
    <row r="81">
      <c r="B81" s="43" t="inlineStr">
        <is>
          <t>Discount Rate (WACC)</t>
        </is>
      </c>
      <c r="C81" s="44" t="n">
        <v>0.11</v>
      </c>
      <c r="D81" s="44" t="n">
        <v>0.13</v>
      </c>
      <c r="E81" s="44" t="n">
        <v>0.15</v>
      </c>
    </row>
    <row r="82">
      <c r="B82" s="43" t="inlineStr">
        <is>
          <t>Terminal EV/EBITDA Multiple</t>
        </is>
      </c>
      <c r="C82" s="54" t="n">
        <v>20</v>
      </c>
      <c r="D82" s="54" t="n">
        <v>18</v>
      </c>
      <c r="E82" s="54" t="n">
        <v>12</v>
      </c>
    </row>
    <row r="83">
      <c r="B83" s="43" t="inlineStr">
        <is>
          <t>Terminal Growth Rate</t>
        </is>
      </c>
      <c r="C83" s="44" t="n">
        <v>0.03</v>
      </c>
      <c r="D83" s="44" t="n">
        <v>0.025</v>
      </c>
      <c r="E83" s="44" t="n">
        <v>0.02</v>
      </c>
    </row>
    <row r="84">
      <c r="B84" s="43" t="inlineStr">
        <is>
          <t>Net Cash ($M)</t>
        </is>
      </c>
      <c r="C84" s="39" t="n">
        <v>161</v>
      </c>
      <c r="D84" s="39" t="n">
        <v>161</v>
      </c>
      <c r="E84" s="39" t="n">
        <v>161</v>
      </c>
    </row>
    <row r="85">
      <c r="B85" s="43" t="inlineStr">
        <is>
          <t>Diluted Shares (M)</t>
        </is>
      </c>
      <c r="C85" s="39" t="n">
        <v>118.8</v>
      </c>
      <c r="D85" s="39" t="n">
        <v>118.8</v>
      </c>
      <c r="E85" s="39" t="n">
        <v>118.8</v>
      </c>
    </row>
    <row r="87">
      <c r="B87" s="48" t="inlineStr">
        <is>
          <t xml:space="preserve">  DCF VALUATION OUTPUT</t>
        </is>
      </c>
    </row>
    <row r="88">
      <c r="B88" s="4" t="inlineStr">
        <is>
          <t>Line Item</t>
        </is>
      </c>
      <c r="C88" s="4" t="inlineStr">
        <is>
          <t>Bull Case</t>
        </is>
      </c>
      <c r="D88" s="4" t="inlineStr">
        <is>
          <t>Base Case</t>
        </is>
      </c>
      <c r="E88" s="4" t="inlineStr">
        <is>
          <t>Bear Case</t>
        </is>
      </c>
    </row>
    <row r="89">
      <c r="B89" s="43" t="inlineStr">
        <is>
          <t>FY2030 Adj. EBITDA ($M)</t>
        </is>
      </c>
      <c r="C89" s="55">
        <f>G53</f>
        <v/>
      </c>
      <c r="D89" s="55">
        <f>G64</f>
        <v/>
      </c>
      <c r="E89" s="55">
        <f>G75</f>
        <v/>
      </c>
    </row>
    <row r="90">
      <c r="B90" s="43" t="inlineStr">
        <is>
          <t>Terminal Value (EBITDA x Multiple, $M)</t>
        </is>
      </c>
      <c r="C90" s="50">
        <f>MAX(0,C89)*C82</f>
        <v/>
      </c>
      <c r="D90" s="50">
        <f>MAX(0,D89)*D82</f>
        <v/>
      </c>
      <c r="E90" s="50">
        <f>MAX(0,E89)*E82</f>
        <v/>
      </c>
    </row>
    <row r="91">
      <c r="B91" s="43" t="inlineStr">
        <is>
          <t>PV of Terminal Value ($M, 5-yr discount)</t>
        </is>
      </c>
      <c r="C91" s="50">
        <f>C90/((1+C81)^5)</f>
        <v/>
      </c>
      <c r="D91" s="50">
        <f>D90/((1+D81)^5)</f>
        <v/>
      </c>
      <c r="E91" s="50">
        <f>E90/((1+E81)^5)</f>
        <v/>
      </c>
    </row>
    <row r="92">
      <c r="B92" s="43" t="inlineStr">
        <is>
          <t>PV of Interim Positive EBITDA ($M, yrs 3-5)</t>
        </is>
      </c>
      <c r="C92" s="50">
        <f>MAX(0,E53)/((1+C81)^3)+MAX(0,F53)/((1+C81)^4)+MAX(0,G53)/((1+C81)^5)</f>
        <v/>
      </c>
      <c r="D92" s="50">
        <f>MAX(0,E64)/((1+D81)^3)+MAX(0,F64)/((1+D81)^4)+MAX(0,G64)/((1+D81)^5)</f>
        <v/>
      </c>
      <c r="E92" s="50">
        <f>MAX(0,E75)/((1+E81)^3)+MAX(0,F75)/((1+E81)^4)+MAX(0,G75)/((1+E81)^5)</f>
        <v/>
      </c>
    </row>
    <row r="93">
      <c r="B93" s="38" t="inlineStr">
        <is>
          <t>Enterprise Value ($M)</t>
        </is>
      </c>
      <c r="C93" s="51">
        <f>C91</f>
        <v/>
      </c>
      <c r="D93" s="51">
        <f>D91</f>
        <v/>
      </c>
      <c r="E93" s="51">
        <f>E91</f>
        <v/>
      </c>
    </row>
    <row r="94">
      <c r="B94" s="43" t="inlineStr">
        <is>
          <t>Plus: Net Cash ($M)</t>
        </is>
      </c>
      <c r="C94" s="50">
        <f>C93+C84</f>
        <v/>
      </c>
      <c r="D94" s="50">
        <f>D93+D84</f>
        <v/>
      </c>
      <c r="E94" s="50">
        <f>E93+E84</f>
        <v/>
      </c>
    </row>
    <row r="95">
      <c r="B95" s="38" t="inlineStr">
        <is>
          <t>Equity Value ($M)</t>
        </is>
      </c>
      <c r="C95" s="51">
        <f>C94</f>
        <v/>
      </c>
      <c r="D95" s="51">
        <f>D94</f>
        <v/>
      </c>
      <c r="E95" s="51">
        <f>E94</f>
        <v/>
      </c>
    </row>
    <row r="96">
      <c r="B96" s="30" t="inlineStr">
        <is>
          <t>Intrinsic Price Per Share (DCF)</t>
        </is>
      </c>
      <c r="C96" s="56">
        <f>IF(C85=0,0,C95/C85)</f>
        <v/>
      </c>
      <c r="D96" s="56">
        <f>IF(D85=0,0,D95/D85)</f>
        <v/>
      </c>
      <c r="E96" s="56">
        <f>IF(E85=0,0,E95/E85)</f>
        <v/>
      </c>
    </row>
    <row r="97">
      <c r="B97" s="43" t="inlineStr">
        <is>
          <t>Current Price</t>
        </is>
      </c>
      <c r="C97" s="57" t="n">
        <v>7.42</v>
      </c>
      <c r="D97" s="57" t="n">
        <v>7.42</v>
      </c>
      <c r="E97" s="57" t="n">
        <v>7.42</v>
      </c>
    </row>
    <row r="98">
      <c r="B98" s="43" t="inlineStr">
        <is>
          <t>Premium/(Discount) to Current</t>
        </is>
      </c>
      <c r="C98" s="42">
        <f>IF(C97=0,0,C96/C97-1)</f>
        <v/>
      </c>
      <c r="D98" s="42">
        <f>IF(D97=0,0,D96/D97-1)</f>
        <v/>
      </c>
      <c r="E98" s="42">
        <f>IF(E97=0,0,E96/E97-1)</f>
        <v/>
      </c>
    </row>
    <row r="100">
      <c r="B100" s="48" t="inlineStr">
        <is>
          <t xml:space="preserve">  REVENUE MULTIPLE CROSS-CHECK</t>
        </is>
      </c>
    </row>
    <row r="101">
      <c r="B101" s="4" t="inlineStr">
        <is>
          <t>Line Item</t>
        </is>
      </c>
      <c r="C101" s="4" t="inlineStr">
        <is>
          <t>Bull Case</t>
        </is>
      </c>
      <c r="D101" s="4" t="inlineStr">
        <is>
          <t>Base Case</t>
        </is>
      </c>
      <c r="E101" s="4" t="inlineStr">
        <is>
          <t>Bear Case</t>
        </is>
      </c>
    </row>
    <row r="102">
      <c r="B102" s="43" t="inlineStr">
        <is>
          <t>FY2026E Revenue ($M)</t>
        </is>
      </c>
      <c r="C102" s="39" t="n">
        <v>660</v>
      </c>
      <c r="D102" s="39" t="n">
        <v>655</v>
      </c>
      <c r="E102" s="39" t="n">
        <v>640</v>
      </c>
    </row>
    <row r="103">
      <c r="B103" s="43" t="inlineStr">
        <is>
          <t>FY2030 Terminal Revenue ($M)</t>
        </is>
      </c>
      <c r="C103" s="55">
        <f>G47</f>
        <v/>
      </c>
      <c r="D103" s="55">
        <f>G58</f>
        <v/>
      </c>
      <c r="E103" s="55">
        <f>G69</f>
        <v/>
      </c>
    </row>
    <row r="104">
      <c r="B104" s="43" t="inlineStr">
        <is>
          <t>Applied EV/Sales Multiple</t>
        </is>
      </c>
      <c r="C104" s="58" t="n">
        <v>3</v>
      </c>
      <c r="D104" s="58" t="n">
        <v>1.1</v>
      </c>
      <c r="E104" s="58" t="n">
        <v>0.7</v>
      </c>
    </row>
    <row r="105">
      <c r="B105" s="43" t="inlineStr">
        <is>
          <t>Implied EV ($M)</t>
        </is>
      </c>
      <c r="C105" s="50">
        <f>C103*C104</f>
        <v/>
      </c>
      <c r="D105" s="50">
        <f>D103*D104</f>
        <v/>
      </c>
      <c r="E105" s="50">
        <f>E103*E104</f>
        <v/>
      </c>
    </row>
    <row r="106">
      <c r="B106" s="43" t="inlineStr">
        <is>
          <t>Plus: Net Cash ($M)</t>
        </is>
      </c>
      <c r="C106" s="39" t="n">
        <v>161</v>
      </c>
      <c r="D106" s="39" t="n">
        <v>161</v>
      </c>
      <c r="E106" s="39" t="n">
        <v>161</v>
      </c>
    </row>
    <row r="107">
      <c r="B107" s="38" t="inlineStr">
        <is>
          <t>Equity Value ($M)</t>
        </is>
      </c>
      <c r="C107" s="51">
        <f>C105+C106</f>
        <v/>
      </c>
      <c r="D107" s="51">
        <f>D105+D106</f>
        <v/>
      </c>
      <c r="E107" s="51">
        <f>E105+E106</f>
        <v/>
      </c>
    </row>
    <row r="108">
      <c r="B108" s="38" t="inlineStr">
        <is>
          <t>Implied Price/Share (Rev Multiple Check)</t>
        </is>
      </c>
      <c r="C108" s="59">
        <f>IF(C85=0,0,C107/C85)</f>
        <v/>
      </c>
      <c r="D108" s="59">
        <f>IF(D85=0,0,D107/D85)</f>
        <v/>
      </c>
      <c r="E108" s="59">
        <f>IF(E85=0,0,E107/E85)</f>
        <v/>
      </c>
    </row>
    <row r="109">
      <c r="B109" s="43" t="inlineStr">
        <is>
          <t>Current Price</t>
        </is>
      </c>
      <c r="C109" s="57" t="n">
        <v>7.42</v>
      </c>
      <c r="D109" s="57" t="n">
        <v>7.42</v>
      </c>
      <c r="E109" s="57" t="n">
        <v>7.42</v>
      </c>
    </row>
    <row r="110">
      <c r="B110" s="43" t="inlineStr">
        <is>
          <t>Premium/(Discount) to Current</t>
        </is>
      </c>
      <c r="C110" s="42">
        <f>IF(C109=0,0,C108/C109-1)</f>
        <v/>
      </c>
      <c r="D110" s="42">
        <f>IF(D109=0,0,D108/D109-1)</f>
        <v/>
      </c>
      <c r="E110" s="42">
        <f>IF(E109=0,0,E108/E109-1)</f>
        <v/>
      </c>
    </row>
  </sheetData>
  <mergeCells count="14">
    <mergeCell ref="B18:I18"/>
    <mergeCell ref="B56:I56"/>
    <mergeCell ref="B100:I100"/>
    <mergeCell ref="B78:I78"/>
    <mergeCell ref="B79:I79"/>
    <mergeCell ref="B87:I87"/>
    <mergeCell ref="B19:I19"/>
    <mergeCell ref="B67:I67"/>
    <mergeCell ref="B45:I45"/>
    <mergeCell ref="B27:I27"/>
    <mergeCell ref="B1:I1"/>
    <mergeCell ref="B35:I35"/>
    <mergeCell ref="B4:I4"/>
    <mergeCell ref="B17:I17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B1:K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6" customWidth="1" min="3" max="3"/>
    <col width="16" customWidth="1" min="4" max="4"/>
    <col width="16" customWidth="1" min="5" max="5"/>
    <col width="22" customWidth="1" min="6" max="6"/>
    <col width="2" customWidth="1" min="7" max="7"/>
    <col width="18" customWidth="1" min="8" max="8"/>
    <col width="18" customWidth="1" min="9" max="9"/>
    <col width="18" customWidth="1" min="10" max="10"/>
    <col width="22" customWidth="1" min="11" max="11"/>
    <col width="28" customWidth="1" min="12" max="12"/>
  </cols>
  <sheetData>
    <row r="1" ht="30" customHeight="1">
      <c r="B1" s="35" t="inlineStr">
        <is>
          <t>UNIT ECONOMICS SCORECARD - SG vs. PEERS</t>
        </is>
      </c>
    </row>
    <row r="2">
      <c r="B2" s="36" t="inlineStr">
        <is>
          <t>Source: Company filings, equity research estimates. Peer data approximate as of June 2026.</t>
        </is>
      </c>
    </row>
    <row r="4" ht="20" customHeight="1">
      <c r="B4" s="3" t="inlineStr">
        <is>
          <t xml:space="preserve">  SG UNIT ECONOMICS TREND</t>
        </is>
      </c>
    </row>
    <row r="5">
      <c r="B5" s="37" t="inlineStr">
        <is>
          <t>Metric</t>
        </is>
      </c>
      <c r="C5" s="4" t="inlineStr">
        <is>
          <t>FY2024</t>
        </is>
      </c>
      <c r="D5" s="4" t="inlineStr">
        <is>
          <t>FY2025</t>
        </is>
      </c>
      <c r="E5" s="4" t="inlineStr">
        <is>
          <t>Q1 2026</t>
        </is>
      </c>
      <c r="F5" s="4" t="inlineStr">
        <is>
          <t>FY2026E (guidance)</t>
        </is>
      </c>
    </row>
    <row r="6">
      <c r="B6" s="5" t="inlineStr">
        <is>
          <t>AUV ($K, trailing)</t>
        </is>
      </c>
      <c r="C6" s="11" t="n">
        <v>2900</v>
      </c>
      <c r="D6" s="11" t="n">
        <v>2800</v>
      </c>
      <c r="E6" s="11" t="n">
        <v>2572</v>
      </c>
      <c r="F6" s="11" t="n">
        <v>2600</v>
      </c>
    </row>
    <row r="7">
      <c r="B7" s="8" t="inlineStr">
        <is>
          <t>Restaurant-Level Margin</t>
        </is>
      </c>
      <c r="C7" s="16" t="n">
        <v>0.17</v>
      </c>
      <c r="D7" s="16" t="n">
        <v>0.12</v>
      </c>
      <c r="E7" s="16" t="n">
        <v>0.1</v>
      </c>
      <c r="F7" s="16" t="n">
        <v>0.145</v>
      </c>
    </row>
    <row r="8">
      <c r="B8" s="5" t="inlineStr">
        <is>
          <t>Same-Store Sales %</t>
        </is>
      </c>
      <c r="C8" s="17" t="n">
        <v>0.062</v>
      </c>
      <c r="D8" s="17" t="n">
        <v>-0.079</v>
      </c>
      <c r="E8" s="17" t="n">
        <v>-0.128</v>
      </c>
      <c r="F8" s="17" t="n">
        <v>-0.03</v>
      </c>
    </row>
    <row r="9">
      <c r="B9" s="8" t="inlineStr">
        <is>
          <t>Total Restaurants</t>
        </is>
      </c>
      <c r="C9" s="19" t="n">
        <v>246</v>
      </c>
      <c r="D9" s="19" t="n">
        <v>281</v>
      </c>
      <c r="E9" s="19" t="n">
        <v>285</v>
      </c>
      <c r="F9" s="19" t="n">
        <v>294</v>
      </c>
    </row>
    <row r="10">
      <c r="B10" s="5" t="inlineStr">
        <is>
          <t>Infinite Kitchen Locations</t>
        </is>
      </c>
      <c r="C10" s="18" t="n">
        <v>10</v>
      </c>
      <c r="D10" s="18" t="n">
        <v>27</v>
      </c>
      <c r="E10" s="18" t="n">
        <v>33</v>
      </c>
      <c r="F10" s="18" t="n">
        <v>40</v>
      </c>
    </row>
    <row r="11">
      <c r="B11" s="60" t="inlineStr">
        <is>
          <t xml:space="preserve">  IK % of Total Restaurants</t>
        </is>
      </c>
      <c r="C11" s="61">
        <f>IF(C9=0,0,C10/C9)</f>
        <v/>
      </c>
      <c r="D11" s="61">
        <f>IF(D9=0,0,D10/D9)</f>
        <v/>
      </c>
      <c r="E11" s="61">
        <f>IF(E9=0,0,E10/E9)</f>
        <v/>
      </c>
      <c r="F11" s="61">
        <f>IF(F9=0,0,F10/F9)</f>
        <v/>
      </c>
    </row>
    <row r="12">
      <c r="B12" s="5" t="inlineStr">
        <is>
          <t>Adj. EBITDA ($M)</t>
        </is>
      </c>
      <c r="C12" s="15" t="n">
        <v>0</v>
      </c>
      <c r="D12" s="15" t="n">
        <v>-20</v>
      </c>
      <c r="E12" s="15" t="n">
        <v>-8.1</v>
      </c>
      <c r="F12" s="62" t="inlineStr">
        <is>
          <t>$1-$6 guidance</t>
        </is>
      </c>
    </row>
    <row r="13">
      <c r="B13" s="8" t="inlineStr">
        <is>
          <t>Cash Burn (quarterly FCF)</t>
        </is>
      </c>
      <c r="C13" s="63" t="inlineStr"/>
      <c r="D13" s="63" t="inlineStr"/>
      <c r="E13" s="64" t="inlineStr">
        <is>
          <t>($29.6M)</t>
        </is>
      </c>
      <c r="F13" s="63" t="inlineStr"/>
    </row>
    <row r="14">
      <c r="B14" s="5" t="inlineStr">
        <is>
          <t>Implied Cash Runway</t>
        </is>
      </c>
      <c r="C14" s="65" t="inlineStr"/>
      <c r="D14" s="65" t="inlineStr"/>
      <c r="E14" s="65" t="inlineStr"/>
      <c r="F14" s="66" t="inlineStr">
        <is>
          <t>~5-6 quarters</t>
        </is>
      </c>
    </row>
    <row r="16" ht="20" customHeight="1">
      <c r="B16" s="3" t="inlineStr">
        <is>
          <t xml:space="preserve">  PEER RESTAURANT COMPS (Estimates, June 2026 — verify before trading)</t>
        </is>
      </c>
    </row>
    <row r="17">
      <c r="B17" s="4" t="inlineStr">
        <is>
          <t>Company</t>
        </is>
      </c>
      <c r="C17" s="4" t="inlineStr">
        <is>
          <t>Ticker</t>
        </is>
      </c>
      <c r="D17" s="4" t="inlineStr">
        <is>
          <t>Fwd Rev Growth</t>
        </is>
      </c>
      <c r="E17" s="4" t="inlineStr">
        <is>
          <t>Rest.-Level Margin</t>
        </is>
      </c>
      <c r="F17" s="4" t="inlineStr">
        <is>
          <t>EV/Sales</t>
        </is>
      </c>
      <c r="G17" s="4" t="inlineStr">
        <is>
          <t>Market Position</t>
        </is>
      </c>
      <c r="H17" s="4" t="inlineStr">
        <is>
          <t>Note</t>
        </is>
      </c>
    </row>
    <row r="18" ht="28" customHeight="1">
      <c r="B18" s="67" t="inlineStr">
        <is>
          <t>Sweetgreen</t>
        </is>
      </c>
      <c r="C18" s="67" t="inlineStr">
        <is>
          <t>SG</t>
        </is>
      </c>
      <c r="D18" s="67" t="inlineStr">
        <is>
          <t>(2%) to 0%</t>
        </is>
      </c>
      <c r="E18" s="67" t="inlineStr">
        <is>
          <t>14-15%</t>
        </is>
      </c>
      <c r="F18" s="67" t="inlineStr">
        <is>
          <t>1.1x</t>
        </is>
      </c>
      <c r="G18" s="67" t="inlineStr">
        <is>
          <t>Fast-casual salad</t>
        </is>
      </c>
      <c r="H18" s="68" t="inlineStr">
        <is>
          <t>Declining comps; only peer with negative SSS and sub-15% margins</t>
        </is>
      </c>
    </row>
    <row r="19" ht="28" customHeight="1">
      <c r="B19" s="69" t="inlineStr">
        <is>
          <t>CAVA Group</t>
        </is>
      </c>
      <c r="C19" s="69" t="inlineStr">
        <is>
          <t>CAVA</t>
        </is>
      </c>
      <c r="D19" s="69" t="inlineStr">
        <is>
          <t>~30%</t>
        </is>
      </c>
      <c r="E19" s="69" t="inlineStr">
        <is>
          <t>~23%</t>
        </is>
      </c>
      <c r="F19" s="69" t="inlineStr">
        <is>
          <t>~7x</t>
        </is>
      </c>
      <c r="G19" s="69" t="inlineStr">
        <is>
          <t>Fast-casual Mediterranean</t>
        </is>
      </c>
      <c r="H19" s="70" t="inlineStr">
        <is>
          <t>Best comps in sector; premium valuation justified</t>
        </is>
      </c>
    </row>
    <row r="20" ht="28" customHeight="1">
      <c r="B20" s="71" t="inlineStr">
        <is>
          <t>Chipotle</t>
        </is>
      </c>
      <c r="C20" s="71" t="inlineStr">
        <is>
          <t>CMG</t>
        </is>
      </c>
      <c r="D20" s="71" t="inlineStr">
        <is>
          <t>~10%</t>
        </is>
      </c>
      <c r="E20" s="71" t="inlineStr">
        <is>
          <t>~27%</t>
        </is>
      </c>
      <c r="F20" s="71" t="inlineStr">
        <is>
          <t>~5.5x</t>
        </is>
      </c>
      <c r="G20" s="71" t="inlineStr">
        <is>
          <t>Fast-casual Mexican</t>
        </is>
      </c>
      <c r="H20" s="31" t="inlineStr">
        <is>
          <t>Category leader; best unit economics in QSR</t>
        </is>
      </c>
    </row>
    <row r="21" ht="28" customHeight="1">
      <c r="B21" s="69" t="inlineStr">
        <is>
          <t>Shake Shack</t>
        </is>
      </c>
      <c r="C21" s="69" t="inlineStr">
        <is>
          <t>SHAK</t>
        </is>
      </c>
      <c r="D21" s="69" t="inlineStr">
        <is>
          <t>~10%</t>
        </is>
      </c>
      <c r="E21" s="69" t="inlineStr">
        <is>
          <t>~20%</t>
        </is>
      </c>
      <c r="F21" s="69" t="inlineStr">
        <is>
          <t>~1.5x</t>
        </is>
      </c>
      <c r="G21" s="69" t="inlineStr">
        <is>
          <t>Premium burgers</t>
        </is>
      </c>
      <c r="H21" s="70" t="inlineStr">
        <is>
          <t>Similar valuation stage; better margins than SG</t>
        </is>
      </c>
    </row>
    <row r="22" ht="18" customHeight="1">
      <c r="B22" s="71" t="inlineStr">
        <is>
          <t>Dutch Bros</t>
        </is>
      </c>
      <c r="C22" s="71" t="inlineStr">
        <is>
          <t>BROS</t>
        </is>
      </c>
      <c r="D22" s="71" t="inlineStr">
        <is>
          <t>~20%</t>
        </is>
      </c>
      <c r="E22" s="71" t="inlineStr">
        <is>
          <t>N/A</t>
        </is>
      </c>
      <c r="F22" s="71" t="inlineStr">
        <is>
          <t>~2.5x</t>
        </is>
      </c>
      <c r="G22" s="71" t="inlineStr">
        <is>
          <t>Drive-thru coffee</t>
        </is>
      </c>
      <c r="H22" s="31" t="inlineStr">
        <is>
          <t>High growth; asset-light model</t>
        </is>
      </c>
    </row>
    <row r="23" ht="28" customHeight="1">
      <c r="B23" s="69" t="inlineStr">
        <is>
          <t>Wingstop</t>
        </is>
      </c>
      <c r="C23" s="69" t="inlineStr">
        <is>
          <t>WING</t>
        </is>
      </c>
      <c r="D23" s="69" t="inlineStr">
        <is>
          <t>~15%</t>
        </is>
      </c>
      <c r="E23" s="69" t="inlineStr">
        <is>
          <t>N/A</t>
        </is>
      </c>
      <c r="F23" s="69" t="inlineStr">
        <is>
          <t>~4x</t>
        </is>
      </c>
      <c r="G23" s="69" t="inlineStr">
        <is>
          <t>Wings delivery</t>
        </is>
      </c>
      <c r="H23" s="70" t="inlineStr">
        <is>
          <t>Asset-light; highest EBITDA margins in group</t>
        </is>
      </c>
    </row>
    <row r="24" ht="28" customHeight="1">
      <c r="B24" s="71" t="inlineStr">
        <is>
          <t>First Watch</t>
        </is>
      </c>
      <c r="C24" s="71" t="inlineStr">
        <is>
          <t>FWRK</t>
        </is>
      </c>
      <c r="D24" s="71" t="inlineStr">
        <is>
          <t>~12%</t>
        </is>
      </c>
      <c r="E24" s="71" t="inlineStr">
        <is>
          <t>~18%</t>
        </is>
      </c>
      <c r="F24" s="71" t="inlineStr">
        <is>
          <t>~1.2x</t>
        </is>
      </c>
      <c r="G24" s="71" t="inlineStr">
        <is>
          <t>Daytime dining</t>
        </is>
      </c>
      <c r="H24" s="31" t="inlineStr">
        <is>
          <t>Similar size and valuation; positive comparable sales</t>
        </is>
      </c>
    </row>
    <row r="26" ht="48" customHeight="1">
      <c r="B26" s="47" t="inlineStr">
        <is>
          <t>ANALYST NOTE: SG trades at 1.1x EV/Sales — the cheapest of peers on revenue multiple. However, it is the ONLY peer with negative same-store sales and sub-15% restaurant-level margins. On a risk-adjusted basis, the valuation is not compelling vs. peers with better unit economics. Catalyst required: Infinite Kitchen margin recovery or SSS stabilization.</t>
        </is>
      </c>
    </row>
  </sheetData>
  <mergeCells count="4">
    <mergeCell ref="B4:F4"/>
    <mergeCell ref="B26:I26"/>
    <mergeCell ref="B1:K1"/>
    <mergeCell ref="B16:K16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8" customWidth="1" min="3" max="3"/>
    <col width="24" customWidth="1" min="4" max="4"/>
    <col width="24" customWidth="1" min="5" max="5"/>
    <col width="32" customWidth="1" min="6" max="6"/>
    <col width="40" customWidth="1" min="7" max="7"/>
  </cols>
  <sheetData>
    <row r="1" ht="30" customHeight="1">
      <c r="B1" s="35" t="inlineStr">
        <is>
          <t>OPTIONS STRATEGY - SWEETGREEN (SG)</t>
        </is>
      </c>
    </row>
    <row r="2">
      <c r="B2" s="72" t="inlineStr">
        <is>
          <t>WARNING: Options carry significant risk. Verify current options chain before trading. IV estimates are approximations only.</t>
        </is>
      </c>
    </row>
    <row r="4" ht="20" customHeight="1">
      <c r="B4" s="3" t="inlineStr">
        <is>
          <t xml:space="preserve">  MARKET DATA REFERENCE</t>
        </is>
      </c>
    </row>
    <row r="5">
      <c r="B5" s="5" t="inlineStr">
        <is>
          <t>Current Price</t>
        </is>
      </c>
      <c r="C5" s="73" t="inlineStr">
        <is>
          <t>$7.42</t>
        </is>
      </c>
      <c r="D5" s="7" t="inlineStr">
        <is>
          <t>June 5, 2026</t>
        </is>
      </c>
    </row>
    <row r="6">
      <c r="B6" s="8" t="inlineStr">
        <is>
          <t>52-Week High</t>
        </is>
      </c>
      <c r="C6" s="74" t="inlineStr">
        <is>
          <t>$16.70</t>
        </is>
      </c>
      <c r="D6" s="10" t="inlineStr"/>
    </row>
    <row r="7">
      <c r="B7" s="5" t="inlineStr">
        <is>
          <t>52-Week Low</t>
        </is>
      </c>
      <c r="C7" s="73" t="inlineStr">
        <is>
          <t>$4.49</t>
        </is>
      </c>
      <c r="D7" s="7" t="inlineStr"/>
    </row>
    <row r="8">
      <c r="B8" s="8" t="inlineStr">
        <is>
          <t>IV (estimated)</t>
        </is>
      </c>
      <c r="C8" s="74" t="inlineStr">
        <is>
          <t>~85-95%</t>
        </is>
      </c>
      <c r="D8" s="10" t="inlineStr">
        <is>
          <t>Small-cap speculative estimate - verify current chain</t>
        </is>
      </c>
    </row>
    <row r="9">
      <c r="B9" s="5" t="inlineStr">
        <is>
          <t>IV Rank</t>
        </is>
      </c>
      <c r="C9" s="73" t="inlineStr">
        <is>
          <t>High (est.)</t>
        </is>
      </c>
      <c r="D9" s="7" t="inlineStr">
        <is>
          <t>Post-run and reversal - premiums elevated</t>
        </is>
      </c>
    </row>
    <row r="10">
      <c r="B10" s="8" t="inlineStr">
        <is>
          <t>User Position</t>
        </is>
      </c>
      <c r="C10" s="74" t="inlineStr">
        <is>
          <t>None</t>
        </is>
      </c>
      <c r="D10" s="10" t="inlineStr">
        <is>
          <t>Evaluating entry</t>
        </is>
      </c>
    </row>
    <row r="12" ht="20" customHeight="1">
      <c r="B12" s="3" t="inlineStr">
        <is>
          <t xml:space="preserve">  RECOMMENDED OPTIONS STRATEGIES</t>
        </is>
      </c>
    </row>
    <row r="13">
      <c r="B13" s="4" t="inlineStr">
        <is>
          <t>Strategy</t>
        </is>
      </c>
      <c r="C13" s="4" t="inlineStr">
        <is>
          <t>Structure</t>
        </is>
      </c>
      <c r="D13" s="4" t="inlineStr">
        <is>
          <t>Strikes / Expiry</t>
        </is>
      </c>
      <c r="E13" s="4" t="inlineStr">
        <is>
          <t>Est. Premium/Debit</t>
        </is>
      </c>
      <c r="F13" s="4" t="inlineStr">
        <is>
          <t>Max Gain / Max Loss</t>
        </is>
      </c>
      <c r="G13" s="4" t="inlineStr">
        <is>
          <t>Rationale</t>
        </is>
      </c>
    </row>
    <row r="14" ht="85" customHeight="1">
      <c r="B14" s="75" t="inlineStr">
        <is>
          <t>PRIMARY: Cash-Secured Put</t>
        </is>
      </c>
      <c r="C14" s="76" t="inlineStr">
        <is>
          <t>Sell 1 put. Set aside Strike x 100 per contract as cash collateral. Net premium collected upfront at trade entry.</t>
        </is>
      </c>
      <c r="D14" s="77" t="inlineStr">
        <is>
          <t>Sell $6.00 put
Aug 2026 (~10 weeks)</t>
        </is>
      </c>
      <c r="E14" s="76" t="inlineStr">
        <is>
          <t>~$0.80-1.10/contract
(~13-18% per-cycle yield on capital at risk — verify annualized rate against live options chain)</t>
        </is>
      </c>
      <c r="F14" s="76" t="inlineStr">
        <is>
          <t>Max Gain: $80-110/contract (premium kept)
Max Loss: Assignment at $6.00 minus premium = ~$4.90-5.20 effective basis</t>
        </is>
      </c>
      <c r="G14" s="78" t="inlineStr">
        <is>
          <t>High IV inflates put premiums. $4.90-5.20 effective basis is near 52-week low ($4.49). Generates income while waiting for better entry. If stock stays above $6, keep premium and repeat. Note: effective basis of ~$5.00 is ABOVE base-case DCF (~$3.49) — IK thesis must partially execute to profit.</t>
        </is>
      </c>
    </row>
    <row r="15" ht="85" customHeight="1">
      <c r="B15" s="79" t="inlineStr">
        <is>
          <t>SPECULATIVE: Bull Call Spread</t>
        </is>
      </c>
      <c r="C15" s="80" t="inlineStr">
        <is>
          <t>Buy $8 call / Sell $12 call, same expiry. Net debit - defined risk, defined reward. Spreads reduce IV drag vs. outright long calls.</t>
        </is>
      </c>
      <c r="D15" s="81" t="inlineStr">
        <is>
          <t>Buy $8 Call / Sell $12 Call
Jan 2027 (~7 months)</t>
        </is>
      </c>
      <c r="E15" s="80" t="inlineStr">
        <is>
          <t>~$0.90-1.20 net debit/spread
($90-120 per spread)</t>
        </is>
      </c>
      <c r="F15" s="80" t="inlineStr">
        <is>
          <t>Max Gain: ~$2.80-3.10/spread if stock reaches $12 (~230-260% ROI on spread)
Max Loss: Debit paid - DEFINED RISK</t>
        </is>
      </c>
      <c r="G15" s="82" t="inlineStr">
        <is>
          <t>Defined-risk participation in Infinite Kitchen bull case. $12 target is below prior $16.70 high. Only enter with strong conviction on IK thesis. Do not enter without clear catalyst.</t>
        </is>
      </c>
    </row>
    <row r="16" ht="85" customHeight="1">
      <c r="B16" s="83" t="inlineStr">
        <is>
          <t>AVOID: Long Stock at Market</t>
        </is>
      </c>
      <c r="C16" s="84" t="inlineStr">
        <is>
          <t>Buy 100 shares at $7.42 market price. Full equity exposure - no downside protection or premium income.</t>
        </is>
      </c>
      <c r="D16" s="85" t="inlineStr">
        <is>
          <t>100 shares @ $7.42
No expiry</t>
        </is>
      </c>
      <c r="E16" s="84" t="inlineStr">
        <is>
          <t>N/A - full $742 per 100 shares at risk</t>
        </is>
      </c>
      <c r="F16" s="84" t="inlineStr">
        <is>
          <t>Max Gain: Unlimited (theoretical)
Max Loss: -82% in bear case (DCF $1.36) = -$609/100 shares</t>
        </is>
      </c>
      <c r="G16" s="86" t="inlineStr">
        <is>
          <t>Base-case DCF is ~$3.49 - less than half current $7.42. Buying at market means pricing in bull-case execution from day one. Risk/reward at current price: -53% to base case; -82% to bear case; +99% to bull case. Only justified with high-conviction bull-case thesis.</t>
        </is>
      </c>
    </row>
    <row r="17" ht="85" customHeight="1">
      <c r="B17" s="87" t="inlineStr">
        <is>
          <t>INCOME (IF ASSIGNED): Covered Call</t>
        </is>
      </c>
      <c r="C17" s="31" t="inlineStr">
        <is>
          <t>If assigned shares via cash-secured put (~$5.00-5.20 basis), immediately sell covered calls. Roll each expiry to reduce cost basis.</t>
        </is>
      </c>
      <c r="D17" s="88" t="inlineStr">
        <is>
          <t>Sell $7.00 or $8.00 calls
6-8 weeks out, rolling</t>
        </is>
      </c>
      <c r="E17" s="31" t="inlineStr">
        <is>
          <t>~$0.50-0.80/contract
Per 6-8 week rolling cycle</t>
        </is>
      </c>
      <c r="F17" s="31" t="inlineStr">
        <is>
          <t>Max Gain: Premium income each cycle + potential upside to strike price
Max Loss: Existing basis minus all premiums collected over time</t>
        </is>
      </c>
      <c r="G17" s="89" t="inlineStr">
        <is>
          <t>If assigned at ~$5.00-5.20, immediately sell covered calls to reduce basis further. At ~85% IV, covered call income is substantial. Rolling $7 calls generates ~$0.50-0.80 every 6-8 weeks. Continue until stock moves or thesis changes.</t>
        </is>
      </c>
    </row>
    <row r="19" ht="20" customHeight="1">
      <c r="B19" s="90" t="inlineStr">
        <is>
          <t xml:space="preserve">  RISK WARNING</t>
        </is>
      </c>
    </row>
    <row r="20" ht="72" customHeight="1">
      <c r="B20" s="91" t="inlineStr">
        <is>
          <t>RISK WARNING: SG is a speculative, pre-profitability stock. Position sizing must reflect bear case scenario (-60% from current price). Never risk more than you can afford to lose entirely. IV estimates of 85-95% are approximations - verify the current options chain before any trade. Options can expire worthless. This model is for informational purposes only and does not constitute financial advice.</t>
        </is>
      </c>
      <c r="C20" s="92" t="n"/>
      <c r="D20" s="92" t="n"/>
      <c r="E20" s="92" t="n"/>
      <c r="F20" s="92" t="n"/>
      <c r="G20" s="32" t="n"/>
    </row>
  </sheetData>
  <mergeCells count="5">
    <mergeCell ref="B19:G19"/>
    <mergeCell ref="B20:G20"/>
    <mergeCell ref="B1:G1"/>
    <mergeCell ref="B4:G4"/>
    <mergeCell ref="B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2026-06-05T21:03:46Z</dcterms:created>
  <dcterms:modified xmlns:dcterms="http://purl.org/dc/terms/" xmlns:xsi="http://www.w3.org/2001/XMLSchema-instance" xsi:type="dcterms:W3CDTF">2026-06-05T21:03:46Z</dcterms:modified>
</cp:coreProperties>
</file>