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LTR_Model" sheetId="2" state="visible" r:id="rId4"/>
    <sheet name="Rule_of_40" sheetId="3" state="visible" r:id="rId5"/>
    <sheet name="Options_Strate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B13" authorId="0">
      <text>
        <r>
          <rPr>
            <sz val="10"/>
            <rFont val="Arial"/>
            <family val="2"/>
          </rPr>
          <t xml:space="preserve">Source: Q2 2026 press release (Aug 3, 2026). 81% of total; +23% QoQ</t>
        </r>
      </text>
    </comment>
    <comment ref="B14" authorId="0">
      <text>
        <r>
          <rPr>
            <sz val="10"/>
            <rFont val="Arial"/>
            <family val="2"/>
          </rPr>
          <t xml:space="preserve">Source: Q2 2026 press release (Aug 3, 2026). Record US comm TCV $2.13B (+153% YoY)</t>
        </r>
      </text>
    </comment>
    <comment ref="B15" authorId="0">
      <text>
        <r>
          <rPr>
            <sz val="10"/>
            <rFont val="Arial"/>
            <family val="2"/>
          </rPr>
          <t xml:space="preserve">Source: Q2 2026 press release</t>
        </r>
      </text>
    </comment>
    <comment ref="B16" authorId="0">
      <text>
        <r>
          <rPr>
            <sz val="10"/>
            <rFont val="Arial"/>
            <family val="2"/>
          </rPr>
          <t xml:space="preserve">Source: Q2 2026 press release (Aug 3, 2026). Derived: total minus US</t>
        </r>
      </text>
    </comment>
    <comment ref="B17" authorId="0">
      <text>
        <r>
          <rPr>
            <sz val="10"/>
            <rFont val="Arial"/>
            <family val="2"/>
          </rPr>
          <t xml:space="preserve">Source: Q2 2026 press release</t>
        </r>
      </text>
    </comment>
    <comment ref="B18" authorId="0">
      <text>
        <r>
          <rPr>
            <sz val="10"/>
            <rFont val="Arial"/>
            <family val="2"/>
          </rPr>
          <t xml:space="preserve">Source: Q2 2026 press release</t>
        </r>
      </text>
    </comment>
    <comment ref="B19" authorId="0">
      <text>
        <r>
          <rPr>
            <sz val="10"/>
            <rFont val="Arial"/>
            <family val="2"/>
          </rPr>
          <t xml:space="preserve">Source: Q2 2026 press release (Aug 3, 2026). +24% YoY</t>
        </r>
      </text>
    </comment>
    <comment ref="B20" authorId="0">
      <text>
        <r>
          <rPr>
            <sz val="10"/>
            <rFont val="Arial"/>
            <family val="2"/>
          </rPr>
          <t xml:space="preserve">Source: Q2 2026 press release (Aug 3, 2026). 157%</t>
        </r>
      </text>
    </comment>
    <comment ref="B21" authorId="0">
      <text>
        <r>
          <rPr>
            <sz val="10"/>
            <rFont val="Arial"/>
            <family val="2"/>
          </rPr>
          <t xml:space="preserve">Source: Q2 2026 press release (Aug 3, 2026). +124% YoY, +27% QoQ</t>
        </r>
      </text>
    </comment>
    <comment ref="B22" authorId="0">
      <text>
        <r>
          <rPr>
            <sz val="10"/>
            <rFont val="Arial"/>
            <family val="2"/>
          </rPr>
          <t xml:space="preserve">Source: Q2 2026 press release (Aug 3, 2026). 220 deals &gt;=$1M; 98 &gt;=$5M; 73 &gt;=$10M</t>
        </r>
      </text>
    </comment>
    <comment ref="B25" authorId="0">
      <text>
        <r>
          <rPr>
            <sz val="10"/>
            <rFont val="Arial"/>
            <family val="2"/>
          </rPr>
          <t xml:space="preserve">FY2026 guidance $8,150–8,158M (raised Aug 3, 2026 from $7,650–7,662M); midpoint. +82% YoY vs FY2025 $4,477M</t>
        </r>
      </text>
    </comment>
    <comment ref="B29" authorId="0">
      <text>
        <r>
          <rPr>
            <sz val="10"/>
            <rFont val="Arial"/>
            <family val="2"/>
          </rPr>
          <t xml:space="preserve">FY2026 growth = guidance (+82.1%). Out-years per dcf_defaults high-growth AI/SaaS: guided -10pp/yr</t>
        </r>
      </text>
    </comment>
    <comment ref="B35" authorId="0">
      <text>
        <r>
          <rPr>
            <sz val="10"/>
            <rFont val="Arial"/>
            <family val="2"/>
          </rPr>
          <t xml:space="preserve">FY2026 growth = guidance. Base: Yr2 = guided -20pp, then -15/-10/-7pp</t>
        </r>
      </text>
    </comment>
    <comment ref="B41" authorId="0">
      <text>
        <r>
          <rPr>
            <sz val="10"/>
            <rFont val="Arial"/>
            <family val="2"/>
          </rPr>
          <t xml:space="preserve">FY2026 growth = guidance (already booked H1). Bear: Yr2 = guided -35pp, then -15/-5/-5pp</t>
        </r>
      </text>
    </comment>
    <comment ref="B48" authorId="0">
      <text>
        <r>
          <rPr>
            <sz val="10"/>
            <rFont val="Arial"/>
            <family val="2"/>
          </rPr>
          <t xml:space="preserve">Q2 2026: $9.2B cash/equivalents/treasuries; zero debt (press release Aug 3, 2026)</t>
        </r>
      </text>
    </comment>
    <comment ref="B50" authorId="0">
      <text>
        <r>
          <rPr>
            <sz val="10"/>
            <rFont val="Arial"/>
            <family val="2"/>
          </rPr>
          <t xml:space="preserve">Implied: Q2 GAAP net income $1,060M / GAAP EPS $0.41 ≈ 2,585M diluted</t>
        </r>
      </text>
    </comment>
    <comment ref="B51" authorId="0">
      <text>
        <r>
          <rPr>
            <sz val="10"/>
            <rFont val="Arial"/>
            <family val="2"/>
          </rPr>
          <t xml:space="preserve">After-hours price Aug 3, 2026 (+9.7% on earnings); official close $125.65</t>
        </r>
      </text>
    </comment>
    <comment ref="B52" authorId="0">
      <text>
        <r>
          <rPr>
            <sz val="10"/>
            <rFont val="Arial"/>
            <family val="2"/>
          </rPr>
          <t xml:space="preserve">Ed's methodology rule: ONE discount rate across bull/base/bear. Prior model used 12/13/15% — corrected this update. 13% = base default for high-growth AI/SaaS</t>
        </r>
      </text>
    </comment>
    <comment ref="C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D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E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F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G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H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I4" authorId="0">
      <text>
        <r>
          <rPr>
            <sz val="10"/>
            <rFont val="Arial"/>
            <family val="2"/>
          </rPr>
          <t xml:space="preserve">Source: PLTR earnings releases; Q2 2026: 8-K press release Aug 3, 2026</t>
        </r>
      </text>
    </comment>
    <comment ref="I5" authorId="0">
      <text>
        <r>
          <rPr>
            <sz val="10"/>
            <rFont val="Arial"/>
            <family val="2"/>
          </rPr>
          <t xml:space="preserve">Q2 2026 revenue +93% YoY, +19% QoQ (press release)</t>
        </r>
      </text>
    </comment>
    <comment ref="I6" authorId="0">
      <text>
        <r>
          <rPr>
            <sz val="10"/>
            <rFont val="Arial"/>
            <family val="2"/>
          </rPr>
          <t xml:space="preserve">Q2 2026 adj. operating income $1.19B / $1.94B = 62%</t>
        </r>
      </text>
    </comment>
    <comment ref="I7" authorId="0">
      <text>
        <r>
          <rPr>
            <sz val="10"/>
            <rFont val="Arial"/>
            <family val="2"/>
          </rPr>
          <t xml:space="preserve">Q2 2026 GAAP op income $912M (47%)</t>
        </r>
      </text>
    </comment>
    <comment ref="I8" authorId="0">
      <text>
        <r>
          <rPr>
            <sz val="10"/>
            <rFont val="Arial"/>
            <family val="2"/>
          </rPr>
          <t xml:space="preserve">Q2 2026 adj. FCF $1.22B (63% margin)</t>
        </r>
      </text>
    </comment>
    <comment ref="I9" authorId="0">
      <text>
        <r>
          <rPr>
            <sz val="10"/>
            <rFont val="Arial"/>
            <family val="2"/>
          </rPr>
          <t xml:space="preserve">Q2 2026 GAAP net income $1.06B; GAAP EPS $0.41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Approximate — analyst estimates Aug 2026</t>
        </r>
      </text>
    </comment>
    <comment ref="B27" authorId="0">
      <text>
        <r>
          <rPr>
            <sz val="10"/>
            <rFont val="Arial"/>
            <family val="2"/>
          </rPr>
          <t xml:space="preserve">Judgment input — 0/5/10 scale</t>
        </r>
      </text>
    </comment>
    <comment ref="B28" authorId="0">
      <text>
        <r>
          <rPr>
            <sz val="10"/>
            <rFont val="Arial"/>
            <family val="2"/>
          </rPr>
          <t xml:space="preserve">Judgment input — 0/5/10 scale</t>
        </r>
      </text>
    </comment>
    <comment ref="B29" authorId="0">
      <text>
        <r>
          <rPr>
            <sz val="10"/>
            <rFont val="Arial"/>
            <family val="2"/>
          </rPr>
          <t xml:space="preserve">Judgment input — 0/5/10 scale</t>
        </r>
      </text>
    </comment>
    <comment ref="B30" authorId="0">
      <text>
        <r>
          <rPr>
            <sz val="10"/>
            <rFont val="Arial"/>
            <family val="2"/>
          </rPr>
          <t xml:space="preserve">Judgment input — 0/5/10 scale</t>
        </r>
      </text>
    </comment>
    <comment ref="B31" authorId="0">
      <text>
        <r>
          <rPr>
            <sz val="10"/>
            <rFont val="Arial"/>
            <family val="2"/>
          </rPr>
          <t xml:space="preserve">Judgment input — 0/5/10 scale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2" authorId="0">
      <text>
        <r>
          <rPr>
            <sz val="10"/>
            <rFont val="Arial"/>
            <family val="2"/>
          </rPr>
          <t xml:space="preserve">Premium estimates — verify live chain; post-earnings IV crush will move these</t>
        </r>
      </text>
    </comment>
    <comment ref="E13" authorId="0">
      <text>
        <r>
          <rPr>
            <sz val="10"/>
            <rFont val="Arial"/>
            <family val="2"/>
          </rPr>
          <t xml:space="preserve">Premium estimates — verify live chain; post-earnings IV crush will move these</t>
        </r>
      </text>
    </comment>
    <comment ref="E14" authorId="0">
      <text>
        <r>
          <rPr>
            <sz val="10"/>
            <rFont val="Arial"/>
            <family val="2"/>
          </rPr>
          <t xml:space="preserve">Premium estimates — verify live chain; post-earnings IV crush will move these</t>
        </r>
      </text>
    </comment>
    <comment ref="E15" authorId="0">
      <text>
        <r>
          <rPr>
            <sz val="10"/>
            <rFont val="Arial"/>
            <family val="2"/>
          </rPr>
          <t xml:space="preserve">Premium estimates — verify live chain; post-earnings IV crush will move these</t>
        </r>
      </text>
    </comment>
  </commentList>
</comments>
</file>

<file path=xl/sharedStrings.xml><?xml version="1.0" encoding="utf-8"?>
<sst xmlns="http://schemas.openxmlformats.org/spreadsheetml/2006/main" count="255" uniqueCount="221">
  <si>
    <t xml:space="preserve">INVESTMENT DASHBOARD — $PLTR | Q2 2026 Earnings Update | August 3, 2026</t>
  </si>
  <si>
    <t xml:space="preserve">Metric</t>
  </si>
  <si>
    <t xml:space="preserve">Value</t>
  </si>
  <si>
    <t xml:space="preserve">Notes / Source</t>
  </si>
  <si>
    <t xml:space="preserve">Company</t>
  </si>
  <si>
    <t xml:space="preserve">Palantir Technologies</t>
  </si>
  <si>
    <t xml:space="preserve">NASDAQ: PLTR</t>
  </si>
  <si>
    <t xml:space="preserve">Current Price ($)</t>
  </si>
  <si>
    <t xml:space="preserve">After-hours Aug 3, 2026; close $125.65</t>
  </si>
  <si>
    <t xml:space="preserve">Market Cap ($B)</t>
  </si>
  <si>
    <t xml:space="preserve">Price × diluted shares</t>
  </si>
  <si>
    <t xml:space="preserve">Enterprise Value ($B)</t>
  </si>
  <si>
    <t xml:space="preserve">Mkt cap − net cash</t>
  </si>
  <si>
    <t xml:space="preserve">Q2 2026 Revenue ($M)</t>
  </si>
  <si>
    <t xml:space="preserve">+93% YoY — beat guide $1,797–1,801M</t>
  </si>
  <si>
    <t xml:space="preserve">Q2 2026 Adj Op Margin</t>
  </si>
  <si>
    <t xml:space="preserve">Q2 2026 Adj FCF Margin</t>
  </si>
  <si>
    <t xml:space="preserve">$1.22B quarterly FCF</t>
  </si>
  <si>
    <t xml:space="preserve">Rule of 40 (Q2 2026)</t>
  </si>
  <si>
    <t xml:space="preserve">93% growth + 62% adj op margin</t>
  </si>
  <si>
    <t xml:space="preserve">FY2026 Revenue Guide ($M)</t>
  </si>
  <si>
    <t xml:space="preserve">Raised from $7,656M (+6.5% raise) — +82% YoY</t>
  </si>
  <si>
    <t xml:space="preserve">FY2026 Adj FCF Guide ($M)</t>
  </si>
  <si>
    <t xml:space="preserve">Guide $4.5–4.7B midpoint (raised from $4.2–4.4B)</t>
  </si>
  <si>
    <t xml:space="preserve">Cash, No Debt ($M)</t>
  </si>
  <si>
    <t xml:space="preserve">$9.2B; debt-free</t>
  </si>
  <si>
    <t xml:space="preserve">EV / FY2026E Sales</t>
  </si>
  <si>
    <t xml:space="preserve">On raised guidance</t>
  </si>
  <si>
    <t xml:space="preserve">EV / FY2027E Sales (base)</t>
  </si>
  <si>
    <t xml:space="preserve">Base scenario FY2027 revenue</t>
  </si>
  <si>
    <t xml:space="preserve">DCF Intrinsic — Bull ($)</t>
  </si>
  <si>
    <t xml:space="preserve">Single 13% WACC</t>
  </si>
  <si>
    <t xml:space="preserve">DCF Intrinsic — Base ($)</t>
  </si>
  <si>
    <t xml:space="preserve">DCF Intrinsic — Bear ($)</t>
  </si>
  <si>
    <t xml:space="preserve">Price vs Bull DCF</t>
  </si>
  <si>
    <t xml:space="preserve">(+) = premium to intrinsic</t>
  </si>
  <si>
    <t xml:space="preserve">Price vs Base DCF</t>
  </si>
  <si>
    <t xml:space="preserve">52-Week High ($)</t>
  </si>
  <si>
    <t xml:space="preserve">stockanalysis.com Aug 3, 2026</t>
  </si>
  <si>
    <t xml:space="preserve">52-Week Low ($)</t>
  </si>
  <si>
    <t xml:space="preserve">200-Day SMA ($)</t>
  </si>
  <si>
    <t xml:space="preserve">As of Jul 29, 2026 — key overhead resistance</t>
  </si>
  <si>
    <t xml:space="preserve">RSI (14) pre-earnings</t>
  </si>
  <si>
    <t xml:space="preserve">Jul 29, 2026</t>
  </si>
  <si>
    <t xml:space="preserve">Leadership Composite (of 50)</t>
  </si>
  <si>
    <t xml:space="preserve">See Rule_of_40 sheet scorecard</t>
  </si>
  <si>
    <t xml:space="preserve">COLOR CODING</t>
  </si>
  <si>
    <t xml:space="preserve">Blue = hardcoded inputs (source in cell comment)</t>
  </si>
  <si>
    <t xml:space="preserve">Black = formulas</t>
  </si>
  <si>
    <t xml:space="preserve">Green = cross-sheet links</t>
  </si>
  <si>
    <t xml:space="preserve">Gold fill = key outputs</t>
  </si>
  <si>
    <t xml:space="preserve">PALANTIR TECHNOLOGIES ($PLTR) — Investment Analysis Model — Q2 2026 Update (Aug 3, 2026)</t>
  </si>
  <si>
    <t xml:space="preserve">SECTION A — HISTORICAL DATA (FY2024–Q2 2026)</t>
  </si>
  <si>
    <t xml:space="preserve">FY2024</t>
  </si>
  <si>
    <t xml:space="preserve">FY2025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</si>
  <si>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</si>
  <si>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</si>
  <si>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</si>
  <si>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</si>
  <si>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</si>
  <si>
    <t xml:space="preserve">Q2 2026</t>
  </si>
  <si>
    <t xml:space="preserve">Revenue ($M)</t>
  </si>
  <si>
    <t xml:space="preserve">YoY Revenue Growth</t>
  </si>
  <si>
    <t xml:space="preserve">Adj. Operating Margin</t>
  </si>
  <si>
    <t xml:space="preserve">GAAP Operating Margin</t>
  </si>
  <si>
    <t xml:space="preserve">Adj. FCF Margin</t>
  </si>
  <si>
    <t xml:space="preserve">GAAP Net Income ($M)</t>
  </si>
  <si>
    <t xml:space="preserve">Revenue Segment Detail (Q2 2026)</t>
  </si>
  <si>
    <t xml:space="preserve">Q2 2026 ($M)</t>
  </si>
  <si>
    <t xml:space="preserve">YoY Growth</t>
  </si>
  <si>
    <t xml:space="preserve">US Revenue ($M)</t>
  </si>
  <si>
    <t xml:space="preserve">US Commercial Revenue ($M)</t>
  </si>
  <si>
    <t xml:space="preserve">US Government Revenue ($M)</t>
  </si>
  <si>
    <t xml:space="preserve">International Revenue ($M)</t>
  </si>
  <si>
    <t xml:space="preserve">Total Commercial ($M)</t>
  </si>
  <si>
    <t xml:space="preserve">Total Government ($M)</t>
  </si>
  <si>
    <t xml:space="preserve">Total Customers</t>
  </si>
  <si>
    <t xml:space="preserve">Net Dollar Retention</t>
  </si>
  <si>
    <t xml:space="preserve">US Comm Remaining Deal Value ($M)</t>
  </si>
  <si>
    <t xml:space="preserve">Total TCV Closed ($M)</t>
  </si>
  <si>
    <t xml:space="preserve">SECTION B — REVENUE &amp; FCF PROJECTIONS (FY2026–FY2030)</t>
  </si>
  <si>
    <t xml:space="preserve">FY2026 Revenue base = guidance midpoint ($M) [growth from $8,154M guidance base]</t>
  </si>
  <si>
    <t xml:space="preserve">Year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</si>
  <si>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</si>
  <si>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</si>
  <si>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</si>
  <si>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</si>
  <si>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</si>
  <si>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Bull Scenario</t>
  </si>
  <si>
    <t xml:space="preserve">Bull Rev Growth Assumption</t>
  </si>
  <si>
    <t xml:space="preserve">Bull Revenue ($M)</t>
  </si>
  <si>
    <t xml:space="preserve">Bull FCF Margin Assumption</t>
  </si>
  <si>
    <t xml:space="preserve">Bull FCF ($M)</t>
  </si>
  <si>
    <t xml:space="preserve">Base Scenario</t>
  </si>
  <si>
    <t xml:space="preserve">Base Rev Growth Assumption</t>
  </si>
  <si>
    <t xml:space="preserve">Base Revenue ($M)</t>
  </si>
  <si>
    <t xml:space="preserve">Base FCF Margin Assumption</t>
  </si>
  <si>
    <t xml:space="preserve">Base FCF ($M)</t>
  </si>
  <si>
    <t xml:space="preserve">Bear Scenario</t>
  </si>
  <si>
    <t xml:space="preserve">Bear Rev Growth Assumption</t>
  </si>
  <si>
    <t xml:space="preserve">Bear Revenue ($M)</t>
  </si>
  <si>
    <t xml:space="preserve">Bear FCF Margin Assumption</t>
  </si>
  <si>
    <t xml:space="preserve">Bear FCF ($M)</t>
  </si>
  <si>
    <t xml:space="preserve">SECTION C — DCF VALUATION (SINGLE WACC = 13% ACROSS ALL SCENARIOS)</t>
  </si>
  <si>
    <t xml:space="preserve">Cash + US Treasuries ($M)</t>
  </si>
  <si>
    <t xml:space="preserve">Total Debt ($M)</t>
  </si>
  <si>
    <t xml:space="preserve">Diluted Shares Outstanding (M)</t>
  </si>
  <si>
    <t xml:space="preserve">Current Share Price ($)</t>
  </si>
  <si>
    <t xml:space="preserve">Single WACC — all scenarios</t>
  </si>
  <si>
    <t xml:space="preserve">Bull DCF — Assumptions &amp; Output</t>
  </si>
  <si>
    <t xml:space="preserve">Terminal Growth Rate</t>
  </si>
  <si>
    <t xml:space="preserve">Terminal FCF Margin</t>
  </si>
  <si>
    <t xml:space="preserve">PV of FCFs ($M) — Yr 1 to 5</t>
  </si>
  <si>
    <t xml:space="preserve">Sum of PV FCFs ($M)</t>
  </si>
  <si>
    <t xml:space="preserve">Terminal Year FCF ($M)</t>
  </si>
  <si>
    <t xml:space="preserve">Terminal Value ($M) [Gordon Growth]</t>
  </si>
  <si>
    <t xml:space="preserve">PV of Terminal Value ($M)</t>
  </si>
  <si>
    <t xml:space="preserve">Enterprise Value ($M)</t>
  </si>
  <si>
    <t xml:space="preserve">Equity Value ($M) [EV + Cash − Debt]</t>
  </si>
  <si>
    <t xml:space="preserve">Intrinsic Value Per Share ($)</t>
  </si>
  <si>
    <t xml:space="preserve">Premium(+)/Discount(−) of Price vs Intrinsic</t>
  </si>
  <si>
    <t xml:space="preserve">Base DCF — Assumptions &amp; Output</t>
  </si>
  <si>
    <t xml:space="preserve">Bear DCF — Assumptions &amp; Output</t>
  </si>
  <si>
    <t xml:space="preserve">SECTION D — RULE OF 40 (HISTORICAL)</t>
  </si>
  <si>
    <t xml:space="preserve">Period</t>
  </si>
  <si>
    <t xml:space="preserve">Revenue Growth</t>
  </si>
  <si>
    <t xml:space="preserve">Adj. Op Margin</t>
  </si>
  <si>
    <t xml:space="preserve">Rule of 40 Score</t>
  </si>
  <si>
    <t xml:space="preserve">RULE OF 40 + PEER COMPS + LEADERSHIP SCORECARD — $PLTR</t>
  </si>
  <si>
    <t xml:space="preserve">Rule of 40 Scorecard</t>
  </si>
  <si>
    <t xml:space="preserve">Rev Growth</t>
  </si>
  <si>
    <t xml:space="preserve">Adj Op Margin</t>
  </si>
  <si>
    <t xml:space="preserve">FCF Margin</t>
  </si>
  <si>
    <t xml:space="preserve">Ro40 (Op)</t>
  </si>
  <si>
    <t xml:space="preserve">Ro40 (FCF)</t>
  </si>
  <si>
    <t xml:space="preserve">Benchmark: &gt;40 healthy | &gt;60 exceptional | &gt;100 rare. Q2 2026 = 155 — a new company record.</t>
  </si>
  <si>
    <t xml:space="preserve">Peer Comparables (approximate, Aug 2026)</t>
  </si>
  <si>
    <t xml:space="preserve">Ticker</t>
  </si>
  <si>
    <t xml:space="preserve">Fwd Rev Growth</t>
  </si>
  <si>
    <t xml:space="preserve">Rule of 40</t>
  </si>
  <si>
    <t xml:space="preserve">Fwd EV/Sales</t>
  </si>
  <si>
    <t xml:space="preserve">PLTR</t>
  </si>
  <si>
    <t xml:space="preserve">NOW</t>
  </si>
  <si>
    <t xml:space="preserve">CRM</t>
  </si>
  <si>
    <t xml:space="preserve">SNOW</t>
  </si>
  <si>
    <t xml:space="preserve">DDOG</t>
  </si>
  <si>
    <t xml:space="preserve">CRWD</t>
  </si>
  <si>
    <t xml:space="preserve">WDAY</t>
  </si>
  <si>
    <t xml:space="preserve">LEADERSHIP &amp; GOVERNANCE SCORECARD (Nash-style, 0/5/10 per criterion)</t>
  </si>
  <si>
    <t xml:space="preserve">CEO: Alex Karp — co-founder, CEO since 2003 (23 yrs). Chairman: Peter Thiel (co-founder).</t>
  </si>
  <si>
    <t xml:space="preserve">Multi-class shares (A/B/F) — founders retain voting control via Class F structure.</t>
  </si>
  <si>
    <t xml:space="preserve">Criterion</t>
  </si>
  <si>
    <t xml:space="preserve">Score</t>
  </si>
  <si>
    <t xml:space="preserve">Evidence</t>
  </si>
  <si>
    <t xml:space="preserve">Execution track record</t>
  </si>
  <si>
    <t xml:space="preserve">8 straight beats; FY26 guide raised +10pp (Q1) then +6.5% again (Q2, Aug 3); 93% growth @ 62% adj op margin</t>
  </si>
  <si>
    <t xml:space="preserve">Founder / tenure / skin in game</t>
  </si>
  <si>
    <t xml:space="preserve">Karp co-founder-CEO 23 yrs; Thiel chairman; founders retain large economic + voting stakes</t>
  </si>
  <si>
    <t xml:space="preserve">Capital allocation</t>
  </si>
  <si>
    <t xml:space="preserve">$9.2B cash, zero debt, no dilutive M&amp;A; but SBC ~12% of revenue and steady share-count creep</t>
  </si>
  <si>
    <t xml:space="preserve">Insider activity (Form 4)</t>
  </si>
  <si>
    <t xml:space="preserve">$433M combined insider sales in 3 months pre-Q1'26 (Thiel ~$290M, Karp ~$132M/32 txns, Cohen ~$100M); zero open-market buys</t>
  </si>
  <si>
    <t xml:space="preserve">Governance &amp; alignment</t>
  </si>
  <si>
    <t xml:space="preserve">Class F super-voting entrenchment; elite execution partly offsets (founder-led hypergrowth adaptation)</t>
  </si>
  <si>
    <t xml:space="preserve">COMPOSITE (of 50)</t>
  </si>
  <si>
    <t xml:space="preserve">FLAG: Score of 0 on Insider Activity — called out in memo regardless of composite (asymmetric governance risk).</t>
  </si>
  <si>
    <t xml:space="preserve">OPTIONS STRATEGY — $PLTR (overlay on existing long equity) — Aug 3, 2026</t>
  </si>
  <si>
    <t xml:space="preserve">Market Data Reference</t>
  </si>
  <si>
    <t xml:space="preserve">Price (after-hours 8/3)</t>
  </si>
  <si>
    <t xml:space="preserve">Post-earnings +9.7%; close $125.65</t>
  </si>
  <si>
    <t xml:space="preserve">52-Week Range</t>
  </si>
  <si>
    <t xml:space="preserve">106.37 – 207.52</t>
  </si>
  <si>
    <t xml:space="preserve">200-Day SMA</t>
  </si>
  <si>
    <t xml:space="preserve">Key overhead resistance</t>
  </si>
  <si>
    <t xml:space="preserve">IV (pre-earnings, June ref)</t>
  </si>
  <si>
    <t xml:space="preserve">IV crush expected T+1 — verify live before trading</t>
  </si>
  <si>
    <t xml:space="preserve">Earnings catalyst</t>
  </si>
  <si>
    <t xml:space="preserve">Q3 report ~Nov 2026</t>
  </si>
  <si>
    <t xml:space="preserve">Next major IV event</t>
  </si>
  <si>
    <t xml:space="preserve">Recommended Strategies (holder of long shares)</t>
  </si>
  <si>
    <t xml:space="preserve">Strategy</t>
  </si>
  <si>
    <t xml:space="preserve">Structure</t>
  </si>
  <si>
    <t xml:space="preserve">Strikes</t>
  </si>
  <si>
    <t xml:space="preserve">Expiry</t>
  </si>
  <si>
    <t xml:space="preserve">Est. Premium</t>
  </si>
  <si>
    <t xml:space="preserve">Max Gain</t>
  </si>
  <si>
    <t xml:space="preserve">Max Loss</t>
  </si>
  <si>
    <t xml:space="preserve">Rationale</t>
  </si>
  <si>
    <t xml:space="preserve">Covered Call</t>
  </si>
  <si>
    <t xml:space="preserve">Sell 1 call / 100 sh</t>
  </si>
  <si>
    <t xml:space="preserve">$155–160</t>
  </si>
  <si>
    <t xml:space="preserve">6–8 wks</t>
  </si>
  <si>
    <t xml:space="preserve">$4–7/sh</t>
  </si>
  <si>
    <t xml:space="preserve">Strike − basis + prem</t>
  </si>
  <si>
    <t xml:space="preserve">Shares called away</t>
  </si>
  <si>
    <t xml:space="preserve">Strike sits at 200-day SMA resistance ($154). Sell into residual post-earnings IV before full crush.</t>
  </si>
  <si>
    <t xml:space="preserve">Protective Put</t>
  </si>
  <si>
    <t xml:space="preserve">Buy 1 put / 100 sh</t>
  </si>
  <si>
    <t xml:space="preserve">$115–120</t>
  </si>
  <si>
    <t xml:space="preserve">Jan 2027</t>
  </si>
  <si>
    <t xml:space="preserve">($10–14)/sh</t>
  </si>
  <si>
    <t xml:space="preserve">Unlimited upside kept</t>
  </si>
  <si>
    <t xml:space="preserve">Premium paid</t>
  </si>
  <si>
    <t xml:space="preserve">Insurance for basis &gt;$100. Price is ~57% above bull-case DCF ($88) — repricing risk is real.</t>
  </si>
  <si>
    <t xml:space="preserve">Collar</t>
  </si>
  <si>
    <t xml:space="preserve">CC + PP combined</t>
  </si>
  <si>
    <t xml:space="preserve">$160 C / $115 P</t>
  </si>
  <si>
    <t xml:space="preserve">Oct–Nov 2026</t>
  </si>
  <si>
    <t xml:space="preserve">~net flat</t>
  </si>
  <si>
    <t xml:space="preserve">Capped at $160</t>
  </si>
  <si>
    <t xml:space="preserve">Floored at $115</t>
  </si>
  <si>
    <t xml:space="preserve">Zero-cost band through next earnings; locks in the post-Q2 pop.</t>
  </si>
  <si>
    <t xml:space="preserve">CSP (add-only)</t>
  </si>
  <si>
    <t xml:space="preserve">Sell cash-secured put</t>
  </si>
  <si>
    <t xml:space="preserve">$110–115</t>
  </si>
  <si>
    <t xml:space="preserve">8–10 wks</t>
  </si>
  <si>
    <t xml:space="preserve">$5–8/sh</t>
  </si>
  <si>
    <t xml:space="preserve">Premium</t>
  </si>
  <si>
    <t xml:space="preserve">Assigned at strike</t>
  </si>
  <si>
    <t xml:space="preserve">Entry discipline: assignment basis ~$104–108 — near 52-wk low and closer to DCF territory.</t>
  </si>
  <si>
    <t xml:space="preserve">NOTE: All premium estimates pre-verification. PLTR options carry high risk (valuation + IV). Size appropriately.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</si>
</sst>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\$#,##0.0"/>
    <numFmt numFmtId="167" formatCode="\$#,##0;&quot;($&quot;#,##0\);\-"/>
    <numFmt numFmtId="168" formatCode="0.0%;\(0.0%\);\-"/>
    <numFmt numFmtId="169" formatCode="0"/>
    <numFmt numFmtId="170" formatCode="0.0\x"/>
    <numFmt numFmtId="171" formatCode="0.0"/>
    <numFmt numFmtId="172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2"/>
    </font>
    <font>
      <b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5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4" t="s">
        <v>5</v>
      </c>
      <c r="C4" s="5" t="s">
        <v>6</v>
      </c>
    </row>
    <row r="5" customFormat="false" ht="15" hidden="false" customHeight="true" outlineLevel="0" collapsed="false">
      <c r="A5" s="4" t="s">
        <v>7</v>
      </c>
      <c r="B5" s="6" t="n">
        <f aca="false">PLTR_Model!$B$51</f>
        <v>137.88</v>
      </c>
      <c r="C5" s="5" t="s">
        <v>8</v>
      </c>
    </row>
    <row r="6" customFormat="false" ht="15" hidden="false" customHeight="true" outlineLevel="0" collapsed="false">
      <c r="A6" s="4" t="s">
        <v>9</v>
      </c>
      <c r="B6" s="7" t="n">
        <f aca="false">PLTR_Model!$B$51*PLTR_Model!$B$50/1000</f>
        <v>356.4198</v>
      </c>
      <c r="C6" s="5" t="s">
        <v>10</v>
      </c>
    </row>
    <row r="7" customFormat="false" ht="15" hidden="false" customHeight="true" outlineLevel="0" collapsed="false">
      <c r="A7" s="4" t="s">
        <v>11</v>
      </c>
      <c r="B7" s="7" t="n">
        <f aca="false">(PLTR_Model!$B$51*PLTR_Model!$B$50-PLTR_Model!$B$48)/1000</f>
        <v>347.2198</v>
      </c>
      <c r="C7" s="5" t="s">
        <v>12</v>
      </c>
    </row>
    <row r="8" customFormat="false" ht="15" hidden="false" customHeight="true" outlineLevel="0" collapsed="false">
      <c r="A8" s="4" t="s">
        <v>13</v>
      </c>
      <c r="B8" s="8" t="n">
        <f aca="false">PLTR_Model!$I$4</f>
        <v>1940</v>
      </c>
      <c r="C8" s="5" t="s">
        <v>14</v>
      </c>
    </row>
    <row r="9" customFormat="false" ht="15" hidden="false" customHeight="true" outlineLevel="0" collapsed="false">
      <c r="A9" s="4" t="s">
        <v>15</v>
      </c>
      <c r="B9" s="9" t="n">
        <f aca="false">PLTR_Model!$I$6</f>
        <v>0.62</v>
      </c>
      <c r="C9" s="5"/>
    </row>
    <row r="10" customFormat="false" ht="15" hidden="false" customHeight="true" outlineLevel="0" collapsed="false">
      <c r="A10" s="4" t="s">
        <v>16</v>
      </c>
      <c r="B10" s="9" t="n">
        <f aca="false">PLTR_Model!$I$8</f>
        <v>0.63</v>
      </c>
      <c r="C10" s="5" t="s">
        <v>17</v>
      </c>
    </row>
    <row r="11" customFormat="false" ht="15" hidden="false" customHeight="true" outlineLevel="0" collapsed="false">
      <c r="A11" s="4" t="s">
        <v>18</v>
      </c>
      <c r="B11" s="10" t="n">
        <f aca="false">PLTR_Model!$D$97</f>
        <v>155</v>
      </c>
      <c r="C11" s="5" t="s">
        <v>19</v>
      </c>
    </row>
    <row r="12" customFormat="false" ht="15" hidden="false" customHeight="true" outlineLevel="0" collapsed="false">
      <c r="A12" s="4" t="s">
        <v>20</v>
      </c>
      <c r="B12" s="8" t="n">
        <f aca="false">PLTR_Model!$B$25</f>
        <v>8154</v>
      </c>
      <c r="C12" s="5" t="s">
        <v>21</v>
      </c>
    </row>
    <row r="13" customFormat="false" ht="15" hidden="false" customHeight="true" outlineLevel="0" collapsed="false">
      <c r="A13" s="4" t="s">
        <v>22</v>
      </c>
      <c r="B13" s="11" t="n">
        <v>4600</v>
      </c>
      <c r="C13" s="5" t="s">
        <v>23</v>
      </c>
    </row>
    <row r="14" customFormat="false" ht="15" hidden="false" customHeight="true" outlineLevel="0" collapsed="false">
      <c r="A14" s="4" t="s">
        <v>24</v>
      </c>
      <c r="B14" s="8" t="n">
        <f aca="false">PLTR_Model!$B$48</f>
        <v>9200</v>
      </c>
      <c r="C14" s="5" t="s">
        <v>25</v>
      </c>
    </row>
    <row r="15" customFormat="false" ht="15" hidden="false" customHeight="true" outlineLevel="0" collapsed="false">
      <c r="A15" s="4" t="s">
        <v>26</v>
      </c>
      <c r="B15" s="12" t="n">
        <f aca="false">(PLTR_Model!$B$51*PLTR_Model!$B$50-PLTR_Model!$B$48)/PLTR_Model!$B$25</f>
        <v>42.5827569291145</v>
      </c>
      <c r="C15" s="5" t="s">
        <v>27</v>
      </c>
    </row>
    <row r="16" customFormat="false" ht="15" hidden="false" customHeight="true" outlineLevel="0" collapsed="false">
      <c r="A16" s="4" t="s">
        <v>28</v>
      </c>
      <c r="B16" s="12" t="n">
        <f aca="false">(PLTR_Model!$B$51*PLTR_Model!$B$50-PLTR_Model!$B$48)/PLTR_Model!$C$36</f>
        <v>26.2856524253793</v>
      </c>
      <c r="C16" s="5" t="s">
        <v>29</v>
      </c>
    </row>
    <row r="17" customFormat="false" ht="15" hidden="false" customHeight="true" outlineLevel="0" collapsed="false">
      <c r="A17" s="4" t="s">
        <v>30</v>
      </c>
      <c r="B17" s="13" t="n">
        <f aca="false">PLTR_Model!$B$64</f>
        <v>88.4086461155068</v>
      </c>
      <c r="C17" s="5" t="s">
        <v>31</v>
      </c>
    </row>
    <row r="18" customFormat="false" ht="15" hidden="false" customHeight="true" outlineLevel="0" collapsed="false">
      <c r="A18" s="4" t="s">
        <v>32</v>
      </c>
      <c r="B18" s="13" t="n">
        <f aca="false">PLTR_Model!$B$77</f>
        <v>56.9657840251828</v>
      </c>
      <c r="C18" s="5" t="s">
        <v>31</v>
      </c>
    </row>
    <row r="19" customFormat="false" ht="15" hidden="false" customHeight="true" outlineLevel="0" collapsed="false">
      <c r="A19" s="4" t="s">
        <v>33</v>
      </c>
      <c r="B19" s="13" t="n">
        <f aca="false">PLTR_Model!$B$90</f>
        <v>34.1830980760188</v>
      </c>
      <c r="C19" s="5" t="s">
        <v>31</v>
      </c>
    </row>
    <row r="20" customFormat="false" ht="15" hidden="false" customHeight="true" outlineLevel="0" collapsed="false">
      <c r="A20" s="4" t="s">
        <v>34</v>
      </c>
      <c r="B20" s="14" t="n">
        <f aca="false">(PLTR_Model!$B$51-PLTR_Model!$B$64)/PLTR_Model!$B$64</f>
        <v>0.559575969751401</v>
      </c>
      <c r="C20" s="5" t="s">
        <v>35</v>
      </c>
    </row>
    <row r="21" customFormat="false" ht="15" hidden="false" customHeight="true" outlineLevel="0" collapsed="false">
      <c r="A21" s="4" t="s">
        <v>36</v>
      </c>
      <c r="B21" s="14" t="n">
        <f aca="false">(PLTR_Model!$B$51-PLTR_Model!$B$77)/PLTR_Model!$B$77</f>
        <v>1.42040028693448</v>
      </c>
      <c r="C21" s="5"/>
    </row>
    <row r="22" customFormat="false" ht="15" hidden="false" customHeight="true" outlineLevel="0" collapsed="false">
      <c r="A22" s="4" t="s">
        <v>37</v>
      </c>
      <c r="B22" s="15" t="n">
        <v>207.52</v>
      </c>
      <c r="C22" s="5" t="s">
        <v>38</v>
      </c>
    </row>
    <row r="23" customFormat="false" ht="15" hidden="false" customHeight="true" outlineLevel="0" collapsed="false">
      <c r="A23" s="4" t="s">
        <v>39</v>
      </c>
      <c r="B23" s="15" t="n">
        <v>106.37</v>
      </c>
      <c r="C23" s="5"/>
    </row>
    <row r="24" customFormat="false" ht="15" hidden="false" customHeight="true" outlineLevel="0" collapsed="false">
      <c r="A24" s="4" t="s">
        <v>40</v>
      </c>
      <c r="B24" s="15" t="n">
        <v>153.72</v>
      </c>
      <c r="C24" s="5" t="s">
        <v>41</v>
      </c>
    </row>
    <row r="25" customFormat="false" ht="15" hidden="false" customHeight="true" outlineLevel="0" collapsed="false">
      <c r="A25" s="4" t="s">
        <v>42</v>
      </c>
      <c r="B25" s="16" t="n">
        <v>46.5</v>
      </c>
      <c r="C25" s="5" t="s">
        <v>43</v>
      </c>
    </row>
    <row r="26" customFormat="false" ht="15" hidden="false" customHeight="true" outlineLevel="0" collapsed="false">
      <c r="A26" s="4" t="s">
        <v>44</v>
      </c>
      <c r="B26" s="10" t="n">
        <f aca="false">Rule_of_40!$B$32</f>
        <v>30</v>
      </c>
      <c r="C26" s="5" t="s">
        <v>45</v>
      </c>
    </row>
    <row r="28" customFormat="false" ht="15" hidden="false" customHeight="true" outlineLevel="0" collapsed="false">
      <c r="A28" s="3" t="s">
        <v>46</v>
      </c>
    </row>
    <row r="29" customFormat="false" ht="15" hidden="false" customHeight="true" outlineLevel="0" collapsed="false">
      <c r="A29" s="17" t="s">
        <v>47</v>
      </c>
    </row>
    <row r="30" customFormat="false" ht="15" hidden="false" customHeight="true" outlineLevel="0" collapsed="false">
      <c r="A30" s="17" t="s">
        <v>48</v>
      </c>
    </row>
    <row r="31" customFormat="false" ht="15" hidden="false" customHeight="true" outlineLevel="0" collapsed="false">
      <c r="A31" s="17" t="s">
        <v>49</v>
      </c>
    </row>
    <row r="32" customFormat="false" ht="15" hidden="false" customHeight="true" outlineLevel="0" collapsed="false">
      <c r="A32" s="1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3"/>
  </cols>
  <sheetData>
    <row r="1" customFormat="false" ht="15.75" hidden="false" customHeight="true" outlineLevel="0" collapsed="false">
      <c r="A1" s="2" t="s">
        <v>51</v>
      </c>
    </row>
    <row r="2" customFormat="false" ht="15" hidden="false" customHeight="true" outlineLevel="0" collapsed="false">
      <c r="A2" s="18" t="s">
        <v>52</v>
      </c>
    </row>
    <row r="3" customFormat="false" ht="15" hidden="false" customHeight="true" outlineLevel="0" collapsed="false">
      <c r="A3" s="3" t="s">
        <v>1</v>
      </c>
      <c r="B3" s="3" t="s">
        <v>53</v>
      </c>
      <c r="C3" s="3" t="s">
        <v>54</v>
      </c>
      <c r="D3" s="3" t="s">
        <v>55</v>
      </c>
      <c r="E3" s="3" t="s">
        <v>56</v>
      </c>
      <c r="F3" s="3" t="s">
        <v>57</v>
      </c>
      <c r="G3" s="3" t="s">
        <v>58</v>
      </c>
      <c r="H3" s="3" t="s">
        <v>59</v>
      </c>
      <c r="I3" s="3" t="s">
        <v>60</v>
      </c>
    </row>
    <row r="4" customFormat="false" ht="15" hidden="false" customHeight="true" outlineLevel="0" collapsed="false">
      <c r="A4" s="4" t="s">
        <v>61</v>
      </c>
      <c r="B4" s="11" t="n">
        <v>2865</v>
      </c>
      <c r="C4" s="11" t="n">
        <v>4477</v>
      </c>
      <c r="D4" s="11" t="n">
        <v>883.9</v>
      </c>
      <c r="E4" s="11" t="n">
        <v>1004</v>
      </c>
      <c r="F4" s="11" t="n">
        <v>1181</v>
      </c>
      <c r="G4" s="11" t="n">
        <v>1408</v>
      </c>
      <c r="H4" s="11" t="n">
        <v>1632.6</v>
      </c>
      <c r="I4" s="11" t="n">
        <v>1940</v>
      </c>
    </row>
    <row r="5" customFormat="false" ht="15" hidden="false" customHeight="true" outlineLevel="0" collapsed="false">
      <c r="A5" s="4" t="s">
        <v>62</v>
      </c>
      <c r="C5" s="19" t="n">
        <v>0.563</v>
      </c>
      <c r="H5" s="19" t="n">
        <v>0.869</v>
      </c>
      <c r="I5" s="19" t="n">
        <v>0.93</v>
      </c>
    </row>
    <row r="6" customFormat="false" ht="15" hidden="false" customHeight="true" outlineLevel="0" collapsed="false">
      <c r="A6" s="4" t="s">
        <v>63</v>
      </c>
      <c r="B6" s="19" t="n">
        <v>0.36</v>
      </c>
      <c r="C6" s="19" t="n">
        <v>0.5</v>
      </c>
      <c r="H6" s="19" t="n">
        <v>0.6</v>
      </c>
      <c r="I6" s="19" t="n">
        <v>0.62</v>
      </c>
    </row>
    <row r="7" customFormat="false" ht="15" hidden="false" customHeight="true" outlineLevel="0" collapsed="false">
      <c r="A7" s="4" t="s">
        <v>64</v>
      </c>
      <c r="H7" s="19" t="n">
        <v>0.46</v>
      </c>
      <c r="I7" s="19" t="n">
        <v>0.47</v>
      </c>
    </row>
    <row r="8" customFormat="false" ht="15" hidden="false" customHeight="true" outlineLevel="0" collapsed="false">
      <c r="A8" s="4" t="s">
        <v>65</v>
      </c>
      <c r="H8" s="19" t="n">
        <v>0.57</v>
      </c>
      <c r="I8" s="19" t="n">
        <v>0.63</v>
      </c>
    </row>
    <row r="9" customFormat="false" ht="15" hidden="false" customHeight="true" outlineLevel="0" collapsed="false">
      <c r="A9" s="4" t="s">
        <v>66</v>
      </c>
      <c r="I9" s="11" t="n">
        <v>1060</v>
      </c>
    </row>
    <row r="11" customFormat="false" ht="15" hidden="false" customHeight="true" outlineLevel="0" collapsed="false">
      <c r="A11" s="18" t="s">
        <v>67</v>
      </c>
    </row>
    <row r="12" customFormat="false" ht="15" hidden="false" customHeight="true" outlineLevel="0" collapsed="false">
      <c r="A12" s="3" t="s">
        <v>1</v>
      </c>
      <c r="B12" s="3" t="s">
        <v>68</v>
      </c>
      <c r="C12" s="3" t="s">
        <v>69</v>
      </c>
    </row>
    <row r="13" customFormat="false" ht="15" hidden="false" customHeight="true" outlineLevel="0" collapsed="false">
      <c r="A13" s="4" t="s">
        <v>70</v>
      </c>
      <c r="B13" s="11" t="n">
        <v>1570</v>
      </c>
      <c r="C13" s="19" t="n">
        <v>1.15</v>
      </c>
    </row>
    <row r="14" customFormat="false" ht="15" hidden="false" customHeight="true" outlineLevel="0" collapsed="false">
      <c r="A14" s="4" t="s">
        <v>71</v>
      </c>
      <c r="B14" s="11" t="n">
        <v>764</v>
      </c>
      <c r="C14" s="19" t="n">
        <v>1.49</v>
      </c>
    </row>
    <row r="15" customFormat="false" ht="15" hidden="false" customHeight="true" outlineLevel="0" collapsed="false">
      <c r="A15" s="4" t="s">
        <v>72</v>
      </c>
      <c r="B15" s="11" t="n">
        <v>809</v>
      </c>
      <c r="C15" s="19" t="n">
        <v>0.9</v>
      </c>
    </row>
    <row r="16" customFormat="false" ht="15" hidden="false" customHeight="true" outlineLevel="0" collapsed="false">
      <c r="A16" s="4" t="s">
        <v>73</v>
      </c>
      <c r="B16" s="11" t="n">
        <v>370</v>
      </c>
    </row>
    <row r="17" customFormat="false" ht="15" hidden="false" customHeight="true" outlineLevel="0" collapsed="false">
      <c r="A17" s="4" t="s">
        <v>74</v>
      </c>
      <c r="B17" s="11" t="n">
        <v>945</v>
      </c>
      <c r="C17" s="19" t="n">
        <v>1.1</v>
      </c>
    </row>
    <row r="18" customFormat="false" ht="15" hidden="false" customHeight="true" outlineLevel="0" collapsed="false">
      <c r="A18" s="4" t="s">
        <v>75</v>
      </c>
      <c r="B18" s="11" t="n">
        <v>990</v>
      </c>
      <c r="C18" s="19" t="n">
        <v>0.79</v>
      </c>
    </row>
    <row r="19" customFormat="false" ht="15" hidden="false" customHeight="true" outlineLevel="0" collapsed="false">
      <c r="A19" s="4" t="s">
        <v>76</v>
      </c>
      <c r="B19" s="20" t="n">
        <v>1049</v>
      </c>
      <c r="C19" s="19" t="n">
        <v>0.24</v>
      </c>
    </row>
    <row r="20" customFormat="false" ht="15" hidden="false" customHeight="true" outlineLevel="0" collapsed="false">
      <c r="A20" s="4" t="s">
        <v>77</v>
      </c>
      <c r="B20" s="19" t="n">
        <v>1.57</v>
      </c>
    </row>
    <row r="21" customFormat="false" ht="15" hidden="false" customHeight="true" outlineLevel="0" collapsed="false">
      <c r="A21" s="4" t="s">
        <v>78</v>
      </c>
      <c r="B21" s="11" t="n">
        <v>6240</v>
      </c>
      <c r="C21" s="19" t="n">
        <v>1.24</v>
      </c>
    </row>
    <row r="22" customFormat="false" ht="15" hidden="false" customHeight="true" outlineLevel="0" collapsed="false">
      <c r="A22" s="4" t="s">
        <v>79</v>
      </c>
      <c r="B22" s="11" t="n">
        <v>3370</v>
      </c>
      <c r="C22" s="19" t="n">
        <v>0.49</v>
      </c>
    </row>
    <row r="24" customFormat="false" ht="15" hidden="false" customHeight="true" outlineLevel="0" collapsed="false">
      <c r="A24" s="18" t="s">
        <v>80</v>
      </c>
    </row>
    <row r="25" customFormat="false" ht="15" hidden="false" customHeight="true" outlineLevel="0" collapsed="false">
      <c r="A25" s="4" t="s">
        <v>81</v>
      </c>
      <c r="B25" s="11" t="n">
        <v>8154</v>
      </c>
    </row>
    <row r="26" customFormat="false" ht="15" hidden="false" customHeight="true" outlineLevel="0" collapsed="false">
      <c r="A26" s="3" t="s">
        <v>82</v>
      </c>
      <c r="B26" s="3" t="s">
        <v>83</v>
      </c>
      <c r="C26" s="3" t="s">
        <v>84</v>
      </c>
      <c r="D26" s="3" t="s">
        <v>85</v>
      </c>
      <c r="E26" s="3" t="s">
        <v>86</v>
      </c>
      <c r="F26" s="3" t="s">
        <v>87</v>
      </c>
    </row>
    <row r="28" customFormat="false" ht="15" hidden="false" customHeight="true" outlineLevel="0" collapsed="false">
      <c r="A28" s="21" t="s">
        <v>88</v>
      </c>
    </row>
    <row r="29" customFormat="false" ht="15" hidden="false" customHeight="true" outlineLevel="0" collapsed="false">
      <c r="A29" s="4" t="s">
        <v>89</v>
      </c>
      <c r="B29" s="19" t="n">
        <v>0.821</v>
      </c>
      <c r="C29" s="19" t="n">
        <v>0.72</v>
      </c>
      <c r="D29" s="19" t="n">
        <v>0.62</v>
      </c>
      <c r="E29" s="19" t="n">
        <v>0.52</v>
      </c>
      <c r="F29" s="19" t="n">
        <v>0.42</v>
      </c>
    </row>
    <row r="30" customFormat="false" ht="15" hidden="false" customHeight="true" outlineLevel="0" collapsed="false">
      <c r="A30" s="4" t="s">
        <v>90</v>
      </c>
      <c r="B30" s="8" t="n">
        <f aca="false">$B$25</f>
        <v>8154</v>
      </c>
      <c r="C30" s="22" t="n">
        <f aca="false">B30*(1+C29)</f>
        <v>14024.88</v>
      </c>
      <c r="D30" s="22" t="n">
        <f aca="false">C30*(1+D29)</f>
        <v>22720.3056</v>
      </c>
      <c r="E30" s="22" t="n">
        <f aca="false">D30*(1+E29)</f>
        <v>34534.864512</v>
      </c>
      <c r="F30" s="22" t="n">
        <f aca="false">E30*(1+F29)</f>
        <v>49039.50760704</v>
      </c>
    </row>
    <row r="31" customFormat="false" ht="15" hidden="false" customHeight="true" outlineLevel="0" collapsed="false">
      <c r="A31" s="4" t="s">
        <v>91</v>
      </c>
      <c r="B31" s="19" t="n">
        <v>0.58</v>
      </c>
      <c r="C31" s="19" t="n">
        <v>0.6</v>
      </c>
      <c r="D31" s="19" t="n">
        <v>0.62</v>
      </c>
      <c r="E31" s="19" t="n">
        <v>0.62</v>
      </c>
      <c r="F31" s="19" t="n">
        <v>0.62</v>
      </c>
    </row>
    <row r="32" customFormat="false" ht="15" hidden="false" customHeight="true" outlineLevel="0" collapsed="false">
      <c r="A32" s="4" t="s">
        <v>92</v>
      </c>
      <c r="B32" s="22" t="n">
        <f aca="false">B30*B31</f>
        <v>4729.32</v>
      </c>
      <c r="C32" s="22" t="n">
        <f aca="false">C30*C31</f>
        <v>8414.928</v>
      </c>
      <c r="D32" s="22" t="n">
        <f aca="false">D30*D31</f>
        <v>14086.589472</v>
      </c>
      <c r="E32" s="22" t="n">
        <f aca="false">E30*E31</f>
        <v>21411.61599744</v>
      </c>
      <c r="F32" s="22" t="n">
        <f aca="false">F30*F31</f>
        <v>30404.4947163648</v>
      </c>
    </row>
    <row r="34" customFormat="false" ht="15" hidden="false" customHeight="true" outlineLevel="0" collapsed="false">
      <c r="A34" s="21" t="s">
        <v>93</v>
      </c>
    </row>
    <row r="35" customFormat="false" ht="15" hidden="false" customHeight="true" outlineLevel="0" collapsed="false">
      <c r="A35" s="4" t="s">
        <v>94</v>
      </c>
      <c r="B35" s="19" t="n">
        <v>0.821</v>
      </c>
      <c r="C35" s="19" t="n">
        <v>0.62</v>
      </c>
      <c r="D35" s="19" t="n">
        <v>0.47</v>
      </c>
      <c r="E35" s="19" t="n">
        <v>0.37</v>
      </c>
      <c r="F35" s="19" t="n">
        <v>0.3</v>
      </c>
    </row>
    <row r="36" customFormat="false" ht="15" hidden="false" customHeight="true" outlineLevel="0" collapsed="false">
      <c r="A36" s="4" t="s">
        <v>95</v>
      </c>
      <c r="B36" s="8" t="n">
        <f aca="false">$B$25</f>
        <v>8154</v>
      </c>
      <c r="C36" s="22" t="n">
        <f aca="false">B36*(1+C35)</f>
        <v>13209.48</v>
      </c>
      <c r="D36" s="22" t="n">
        <f aca="false">C36*(1+D35)</f>
        <v>19417.9356</v>
      </c>
      <c r="E36" s="22" t="n">
        <f aca="false">D36*(1+E35)</f>
        <v>26602.571772</v>
      </c>
      <c r="F36" s="22" t="n">
        <f aca="false">E36*(1+F35)</f>
        <v>34583.3433036</v>
      </c>
    </row>
    <row r="37" customFormat="false" ht="15" hidden="false" customHeight="true" outlineLevel="0" collapsed="false">
      <c r="A37" s="4" t="s">
        <v>96</v>
      </c>
      <c r="B37" s="19" t="n">
        <v>0.56</v>
      </c>
      <c r="C37" s="19" t="n">
        <v>0.56</v>
      </c>
      <c r="D37" s="19" t="n">
        <v>0.55</v>
      </c>
      <c r="E37" s="19" t="n">
        <v>0.54</v>
      </c>
      <c r="F37" s="19" t="n">
        <v>0.52</v>
      </c>
    </row>
    <row r="38" customFormat="false" ht="15" hidden="false" customHeight="true" outlineLevel="0" collapsed="false">
      <c r="A38" s="4" t="s">
        <v>97</v>
      </c>
      <c r="B38" s="22" t="n">
        <f aca="false">B36*B37</f>
        <v>4566.24</v>
      </c>
      <c r="C38" s="22" t="n">
        <f aca="false">C36*C37</f>
        <v>7397.3088</v>
      </c>
      <c r="D38" s="22" t="n">
        <f aca="false">D36*D37</f>
        <v>10679.86458</v>
      </c>
      <c r="E38" s="22" t="n">
        <f aca="false">E36*E37</f>
        <v>14365.38875688</v>
      </c>
      <c r="F38" s="22" t="n">
        <f aca="false">F36*F37</f>
        <v>17983.338517872</v>
      </c>
    </row>
    <row r="40" customFormat="false" ht="15" hidden="false" customHeight="true" outlineLevel="0" collapsed="false">
      <c r="A40" s="21" t="s">
        <v>98</v>
      </c>
    </row>
    <row r="41" customFormat="false" ht="15" hidden="false" customHeight="true" outlineLevel="0" collapsed="false">
      <c r="A41" s="4" t="s">
        <v>99</v>
      </c>
      <c r="B41" s="19" t="n">
        <v>0.821</v>
      </c>
      <c r="C41" s="19" t="n">
        <v>0.47</v>
      </c>
      <c r="D41" s="19" t="n">
        <v>0.32</v>
      </c>
      <c r="E41" s="19" t="n">
        <v>0.27</v>
      </c>
      <c r="F41" s="19" t="n">
        <v>0.22</v>
      </c>
    </row>
    <row r="42" customFormat="false" ht="15" hidden="false" customHeight="true" outlineLevel="0" collapsed="false">
      <c r="A42" s="4" t="s">
        <v>100</v>
      </c>
      <c r="B42" s="8" t="n">
        <f aca="false">$B$25</f>
        <v>8154</v>
      </c>
      <c r="C42" s="22" t="n">
        <f aca="false">B42*(1+C41)</f>
        <v>11986.38</v>
      </c>
      <c r="D42" s="22" t="n">
        <f aca="false">C42*(1+D41)</f>
        <v>15822.0216</v>
      </c>
      <c r="E42" s="22" t="n">
        <f aca="false">D42*(1+E41)</f>
        <v>20093.967432</v>
      </c>
      <c r="F42" s="22" t="n">
        <f aca="false">E42*(1+F41)</f>
        <v>24514.64026704</v>
      </c>
    </row>
    <row r="43" customFormat="false" ht="15" hidden="false" customHeight="true" outlineLevel="0" collapsed="false">
      <c r="A43" s="4" t="s">
        <v>101</v>
      </c>
      <c r="B43" s="19" t="n">
        <v>0.52</v>
      </c>
      <c r="C43" s="19" t="n">
        <v>0.5</v>
      </c>
      <c r="D43" s="19" t="n">
        <v>0.47</v>
      </c>
      <c r="E43" s="19" t="n">
        <v>0.44</v>
      </c>
      <c r="F43" s="19" t="n">
        <v>0.4</v>
      </c>
    </row>
    <row r="44" customFormat="false" ht="15" hidden="false" customHeight="true" outlineLevel="0" collapsed="false">
      <c r="A44" s="4" t="s">
        <v>102</v>
      </c>
      <c r="B44" s="22" t="n">
        <f aca="false">B42*B43</f>
        <v>4240.08</v>
      </c>
      <c r="C44" s="22" t="n">
        <f aca="false">C42*C43</f>
        <v>5993.19</v>
      </c>
      <c r="D44" s="22" t="n">
        <f aca="false">D42*D43</f>
        <v>7436.350152</v>
      </c>
      <c r="E44" s="22" t="n">
        <f aca="false">E42*E43</f>
        <v>8841.34567008</v>
      </c>
      <c r="F44" s="22" t="n">
        <f aca="false">F42*F43</f>
        <v>9805.856106816</v>
      </c>
    </row>
    <row r="47" customFormat="false" ht="15" hidden="false" customHeight="true" outlineLevel="0" collapsed="false">
      <c r="A47" s="18" t="s">
        <v>103</v>
      </c>
    </row>
    <row r="48" customFormat="false" ht="15" hidden="false" customHeight="true" outlineLevel="0" collapsed="false">
      <c r="A48" s="4" t="s">
        <v>104</v>
      </c>
      <c r="B48" s="11" t="n">
        <v>9200</v>
      </c>
    </row>
    <row r="49" customFormat="false" ht="15" hidden="false" customHeight="true" outlineLevel="0" collapsed="false">
      <c r="A49" s="4" t="s">
        <v>105</v>
      </c>
      <c r="B49" s="11" t="n">
        <v>0</v>
      </c>
    </row>
    <row r="50" customFormat="false" ht="15" hidden="false" customHeight="true" outlineLevel="0" collapsed="false">
      <c r="A50" s="4" t="s">
        <v>106</v>
      </c>
      <c r="B50" s="20" t="n">
        <v>2585</v>
      </c>
    </row>
    <row r="51" customFormat="false" ht="15" hidden="false" customHeight="true" outlineLevel="0" collapsed="false">
      <c r="A51" s="4" t="s">
        <v>107</v>
      </c>
      <c r="B51" s="15" t="n">
        <v>137.88</v>
      </c>
    </row>
    <row r="52" customFormat="false" ht="15" hidden="false" customHeight="true" outlineLevel="0" collapsed="false">
      <c r="A52" s="4" t="s">
        <v>108</v>
      </c>
      <c r="B52" s="19" t="n">
        <v>0.13</v>
      </c>
    </row>
    <row r="54" customFormat="false" ht="15" hidden="false" customHeight="true" outlineLevel="0" collapsed="false">
      <c r="A54" s="21" t="s">
        <v>109</v>
      </c>
    </row>
    <row r="55" customFormat="false" ht="15" hidden="false" customHeight="true" outlineLevel="0" collapsed="false">
      <c r="A55" s="4" t="s">
        <v>110</v>
      </c>
      <c r="B55" s="19" t="n">
        <v>0.04</v>
      </c>
    </row>
    <row r="56" customFormat="false" ht="15" hidden="false" customHeight="true" outlineLevel="0" collapsed="false">
      <c r="A56" s="4" t="s">
        <v>111</v>
      </c>
      <c r="B56" s="19" t="n">
        <v>0.55</v>
      </c>
    </row>
    <row r="57" customFormat="false" ht="15" hidden="false" customHeight="true" outlineLevel="0" collapsed="false">
      <c r="A57" s="4" t="s">
        <v>112</v>
      </c>
      <c r="B57" s="22" t="n">
        <f aca="false">B32/((1+$B$52)^1)</f>
        <v>4185.2389380531</v>
      </c>
      <c r="C57" s="22" t="n">
        <f aca="false">C32/((1+$B$52)^2)</f>
        <v>6590.12295402929</v>
      </c>
      <c r="D57" s="22" t="n">
        <f aca="false">D32/((1+$B$52)^3)</f>
        <v>9762.71311950888</v>
      </c>
      <c r="E57" s="22" t="n">
        <f aca="false">E32/((1+$B$52)^4)</f>
        <v>13132.1450811093</v>
      </c>
      <c r="F57" s="22" t="n">
        <f aca="false">F32/((1+$B$52)^5)</f>
        <v>16502.3416063497</v>
      </c>
    </row>
    <row r="58" customFormat="false" ht="15" hidden="false" customHeight="true" outlineLevel="0" collapsed="false">
      <c r="A58" s="4" t="s">
        <v>113</v>
      </c>
      <c r="B58" s="22" t="n">
        <f aca="false">SUM(B57:F57)</f>
        <v>50172.5616990503</v>
      </c>
    </row>
    <row r="59" customFormat="false" ht="15" hidden="false" customHeight="true" outlineLevel="0" collapsed="false">
      <c r="A59" s="4" t="s">
        <v>114</v>
      </c>
      <c r="B59" s="22" t="n">
        <f aca="false">F30*$B$56</f>
        <v>26971.729183872</v>
      </c>
    </row>
    <row r="60" customFormat="false" ht="15" hidden="false" customHeight="true" outlineLevel="0" collapsed="false">
      <c r="A60" s="4" t="s">
        <v>115</v>
      </c>
      <c r="B60" s="22" t="n">
        <f aca="false">B59*(1+$B$55)/($B$52-$B$55)</f>
        <v>311673.315013632</v>
      </c>
    </row>
    <row r="61" customFormat="false" ht="15" hidden="false" customHeight="true" outlineLevel="0" collapsed="false">
      <c r="A61" s="4" t="s">
        <v>116</v>
      </c>
      <c r="B61" s="22" t="n">
        <f aca="false">B60/((1+$B$52)^5)</f>
        <v>169163.788509535</v>
      </c>
    </row>
    <row r="62" customFormat="false" ht="15" hidden="false" customHeight="true" outlineLevel="0" collapsed="false">
      <c r="A62" s="4" t="s">
        <v>117</v>
      </c>
      <c r="B62" s="22" t="n">
        <f aca="false">B58+B61</f>
        <v>219336.350208585</v>
      </c>
    </row>
    <row r="63" customFormat="false" ht="15" hidden="false" customHeight="true" outlineLevel="0" collapsed="false">
      <c r="A63" s="4" t="s">
        <v>118</v>
      </c>
      <c r="B63" s="22" t="n">
        <f aca="false">B62+$B$48-$B$49</f>
        <v>228536.350208585</v>
      </c>
    </row>
    <row r="64" customFormat="false" ht="15" hidden="false" customHeight="true" outlineLevel="0" collapsed="false">
      <c r="A64" s="4" t="s">
        <v>119</v>
      </c>
      <c r="B64" s="23" t="n">
        <f aca="false">B63/$B$50</f>
        <v>88.4086461155068</v>
      </c>
    </row>
    <row r="65" customFormat="false" ht="15" hidden="false" customHeight="true" outlineLevel="0" collapsed="false">
      <c r="A65" s="4" t="s">
        <v>120</v>
      </c>
      <c r="B65" s="14" t="n">
        <f aca="false">($B$51-B64)/B64</f>
        <v>0.559575969751401</v>
      </c>
    </row>
    <row r="67" customFormat="false" ht="15" hidden="false" customHeight="true" outlineLevel="0" collapsed="false">
      <c r="A67" s="21" t="s">
        <v>121</v>
      </c>
    </row>
    <row r="68" customFormat="false" ht="15" hidden="false" customHeight="true" outlineLevel="0" collapsed="false">
      <c r="A68" s="4" t="s">
        <v>110</v>
      </c>
      <c r="B68" s="19" t="n">
        <v>0.035</v>
      </c>
    </row>
    <row r="69" customFormat="false" ht="15" hidden="false" customHeight="true" outlineLevel="0" collapsed="false">
      <c r="A69" s="4" t="s">
        <v>111</v>
      </c>
      <c r="B69" s="19" t="n">
        <v>0.5</v>
      </c>
    </row>
    <row r="70" customFormat="false" ht="15" hidden="false" customHeight="true" outlineLevel="0" collapsed="false">
      <c r="A70" s="4" t="s">
        <v>112</v>
      </c>
      <c r="B70" s="22" t="n">
        <f aca="false">B38/((1+$B$52)^1)</f>
        <v>4040.9203539823</v>
      </c>
      <c r="C70" s="22" t="n">
        <f aca="false">C38/((1+$B$52)^2)</f>
        <v>5793.1778526118</v>
      </c>
      <c r="D70" s="22" t="n">
        <f aca="false">D38/((1+$B$52)^3)</f>
        <v>7401.68188027282</v>
      </c>
      <c r="E70" s="22" t="n">
        <f aca="false">E38/((1+$B$52)^4)</f>
        <v>8810.56195498927</v>
      </c>
      <c r="F70" s="22" t="n">
        <f aca="false">F38/((1+$B$52)^5)</f>
        <v>9760.63566301663</v>
      </c>
    </row>
    <row r="71" customFormat="false" ht="15" hidden="false" customHeight="true" outlineLevel="0" collapsed="false">
      <c r="A71" s="4" t="s">
        <v>113</v>
      </c>
      <c r="B71" s="22" t="n">
        <f aca="false">SUM(B70:F70)</f>
        <v>35806.9777048728</v>
      </c>
    </row>
    <row r="72" customFormat="false" ht="15" hidden="false" customHeight="true" outlineLevel="0" collapsed="false">
      <c r="A72" s="4" t="s">
        <v>114</v>
      </c>
      <c r="B72" s="22" t="n">
        <f aca="false">F36*$B$69</f>
        <v>17291.6716518</v>
      </c>
    </row>
    <row r="73" customFormat="false" ht="15" hidden="false" customHeight="true" outlineLevel="0" collapsed="false">
      <c r="A73" s="4" t="s">
        <v>115</v>
      </c>
      <c r="B73" s="22" t="n">
        <f aca="false">B72*(1+$B$68)/($B$52-$B$68)</f>
        <v>188388.212206453</v>
      </c>
    </row>
    <row r="74" customFormat="false" ht="15" hidden="false" customHeight="true" outlineLevel="0" collapsed="false">
      <c r="A74" s="4" t="s">
        <v>116</v>
      </c>
      <c r="B74" s="22" t="n">
        <f aca="false">B73/((1+$B$52)^5)</f>
        <v>102249.574000225</v>
      </c>
    </row>
    <row r="75" customFormat="false" ht="15" hidden="false" customHeight="true" outlineLevel="0" collapsed="false">
      <c r="A75" s="4" t="s">
        <v>117</v>
      </c>
      <c r="B75" s="22" t="n">
        <f aca="false">B71+B74</f>
        <v>138056.551705098</v>
      </c>
    </row>
    <row r="76" customFormat="false" ht="15" hidden="false" customHeight="true" outlineLevel="0" collapsed="false">
      <c r="A76" s="4" t="s">
        <v>118</v>
      </c>
      <c r="B76" s="22" t="n">
        <f aca="false">B75+$B$48-$B$49</f>
        <v>147256.551705098</v>
      </c>
    </row>
    <row r="77" customFormat="false" ht="15" hidden="false" customHeight="true" outlineLevel="0" collapsed="false">
      <c r="A77" s="4" t="s">
        <v>119</v>
      </c>
      <c r="B77" s="23" t="n">
        <f aca="false">B76/$B$50</f>
        <v>56.9657840251828</v>
      </c>
    </row>
    <row r="78" customFormat="false" ht="15" hidden="false" customHeight="true" outlineLevel="0" collapsed="false">
      <c r="A78" s="4" t="s">
        <v>120</v>
      </c>
      <c r="B78" s="14" t="n">
        <f aca="false">($B$51-B77)/B77</f>
        <v>1.42040028693448</v>
      </c>
    </row>
    <row r="80" customFormat="false" ht="15" hidden="false" customHeight="true" outlineLevel="0" collapsed="false">
      <c r="A80" s="21" t="s">
        <v>122</v>
      </c>
    </row>
    <row r="81" customFormat="false" ht="15" hidden="false" customHeight="true" outlineLevel="0" collapsed="false">
      <c r="A81" s="4" t="s">
        <v>110</v>
      </c>
      <c r="B81" s="19" t="n">
        <v>0.03</v>
      </c>
    </row>
    <row r="82" customFormat="false" ht="15" hidden="false" customHeight="true" outlineLevel="0" collapsed="false">
      <c r="A82" s="4" t="s">
        <v>111</v>
      </c>
      <c r="B82" s="19" t="n">
        <v>0.4</v>
      </c>
    </row>
    <row r="83" customFormat="false" ht="15" hidden="false" customHeight="true" outlineLevel="0" collapsed="false">
      <c r="A83" s="4" t="s">
        <v>112</v>
      </c>
      <c r="B83" s="22" t="n">
        <f aca="false">B44/((1+$B$52)^1)</f>
        <v>3752.28318584071</v>
      </c>
      <c r="C83" s="22" t="n">
        <f aca="false">C44/((1+$B$52)^2)</f>
        <v>4693.546871329</v>
      </c>
      <c r="D83" s="22" t="n">
        <f aca="false">D44/((1+$B$52)^3)</f>
        <v>5153.76367959737</v>
      </c>
      <c r="E83" s="22" t="n">
        <f aca="false">E44/((1+$B$52)^4)</f>
        <v>5422.56287734703</v>
      </c>
      <c r="F83" s="22" t="n">
        <f aca="false">F44/((1+$B$52)^5)</f>
        <v>5322.22583295525</v>
      </c>
    </row>
    <row r="84" customFormat="false" ht="15" hidden="false" customHeight="true" outlineLevel="0" collapsed="false">
      <c r="A84" s="4" t="s">
        <v>113</v>
      </c>
      <c r="B84" s="22" t="n">
        <f aca="false">SUM(B83:F83)</f>
        <v>24344.3824470694</v>
      </c>
    </row>
    <row r="85" customFormat="false" ht="15" hidden="false" customHeight="true" outlineLevel="0" collapsed="false">
      <c r="A85" s="4" t="s">
        <v>114</v>
      </c>
      <c r="B85" s="22" t="n">
        <f aca="false">F42*$B$82</f>
        <v>9805.856106816</v>
      </c>
    </row>
    <row r="86" customFormat="false" ht="15" hidden="false" customHeight="true" outlineLevel="0" collapsed="false">
      <c r="A86" s="4" t="s">
        <v>115</v>
      </c>
      <c r="B86" s="22" t="n">
        <f aca="false">B85*(1+$B$81)/($B$52-$B$81)</f>
        <v>101000.317900205</v>
      </c>
    </row>
    <row r="87" customFormat="false" ht="15" hidden="false" customHeight="true" outlineLevel="0" collapsed="false">
      <c r="A87" s="4" t="s">
        <v>116</v>
      </c>
      <c r="B87" s="22" t="n">
        <f aca="false">B86/((1+$B$52)^5)</f>
        <v>54818.9260794391</v>
      </c>
    </row>
    <row r="88" customFormat="false" ht="15" hidden="false" customHeight="true" outlineLevel="0" collapsed="false">
      <c r="A88" s="4" t="s">
        <v>117</v>
      </c>
      <c r="B88" s="22" t="n">
        <f aca="false">B84+B87</f>
        <v>79163.3085265085</v>
      </c>
    </row>
    <row r="89" customFormat="false" ht="15" hidden="false" customHeight="true" outlineLevel="0" collapsed="false">
      <c r="A89" s="4" t="s">
        <v>118</v>
      </c>
      <c r="B89" s="22" t="n">
        <f aca="false">B88+$B$48-$B$49</f>
        <v>88363.3085265085</v>
      </c>
    </row>
    <row r="90" customFormat="false" ht="15" hidden="false" customHeight="true" outlineLevel="0" collapsed="false">
      <c r="A90" s="4" t="s">
        <v>119</v>
      </c>
      <c r="B90" s="23" t="n">
        <f aca="false">B89/$B$50</f>
        <v>34.1830980760188</v>
      </c>
    </row>
    <row r="91" customFormat="false" ht="15" hidden="false" customHeight="true" outlineLevel="0" collapsed="false">
      <c r="A91" s="4" t="s">
        <v>120</v>
      </c>
      <c r="B91" s="14" t="n">
        <f aca="false">($B$51-B90)/B90</f>
        <v>3.03357237232778</v>
      </c>
    </row>
    <row r="93" customFormat="false" ht="15" hidden="false" customHeight="true" outlineLevel="0" collapsed="false">
      <c r="A93" s="18" t="s">
        <v>123</v>
      </c>
    </row>
    <row r="94" customFormat="false" ht="15" hidden="false" customHeight="true" outlineLevel="0" collapsed="false">
      <c r="A94" s="3" t="s">
        <v>124</v>
      </c>
      <c r="B94" s="3" t="s">
        <v>125</v>
      </c>
      <c r="C94" s="3" t="s">
        <v>126</v>
      </c>
      <c r="D94" s="3" t="s">
        <v>127</v>
      </c>
    </row>
    <row r="95" customFormat="false" ht="15" hidden="false" customHeight="true" outlineLevel="0" collapsed="false">
      <c r="A95" s="4" t="s">
        <v>54</v>
      </c>
      <c r="B95" s="19" t="n">
        <v>0.56</v>
      </c>
      <c r="C95" s="19" t="n">
        <v>0.5</v>
      </c>
      <c r="D95" s="24" t="n">
        <f aca="false">(B95+C95)*100</f>
        <v>106</v>
      </c>
    </row>
    <row r="96" customFormat="false" ht="15" hidden="false" customHeight="true" outlineLevel="0" collapsed="false">
      <c r="A96" s="4" t="s">
        <v>59</v>
      </c>
      <c r="B96" s="19" t="n">
        <v>0.85</v>
      </c>
      <c r="C96" s="19" t="n">
        <v>0.6</v>
      </c>
      <c r="D96" s="24" t="n">
        <f aca="false">(B96+C96)*100</f>
        <v>145</v>
      </c>
    </row>
    <row r="97" customFormat="false" ht="15" hidden="false" customHeight="true" outlineLevel="0" collapsed="false">
      <c r="A97" s="4" t="s">
        <v>60</v>
      </c>
      <c r="B97" s="19" t="n">
        <v>0.93</v>
      </c>
      <c r="C97" s="19" t="n">
        <v>0.62</v>
      </c>
      <c r="D97" s="24" t="n">
        <f aca="false">(B97+C97)*100</f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5"/>
  </cols>
  <sheetData>
    <row r="1" customFormat="false" ht="15.75" hidden="false" customHeight="true" outlineLevel="0" collapsed="false">
      <c r="A1" s="2" t="s">
        <v>128</v>
      </c>
    </row>
    <row r="3" customFormat="false" ht="15" hidden="false" customHeight="true" outlineLevel="0" collapsed="false">
      <c r="A3" s="18" t="s">
        <v>129</v>
      </c>
    </row>
    <row r="4" customFormat="false" ht="15" hidden="false" customHeight="true" outlineLevel="0" collapsed="false">
      <c r="A4" s="3" t="s">
        <v>124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134</v>
      </c>
    </row>
    <row r="5" customFormat="false" ht="15" hidden="false" customHeight="true" outlineLevel="0" collapsed="false">
      <c r="A5" s="4" t="s">
        <v>54</v>
      </c>
      <c r="B5" s="19" t="n">
        <v>0.56</v>
      </c>
      <c r="C5" s="19" t="n">
        <v>0.5</v>
      </c>
      <c r="D5" s="19" t="n">
        <v>0.5</v>
      </c>
      <c r="E5" s="24" t="n">
        <f aca="false">(B5+C5)*100</f>
        <v>106</v>
      </c>
      <c r="F5" s="25" t="n">
        <f aca="false">(B5+D5)*100</f>
        <v>106</v>
      </c>
    </row>
    <row r="6" customFormat="false" ht="15" hidden="false" customHeight="true" outlineLevel="0" collapsed="false">
      <c r="A6" s="4" t="s">
        <v>59</v>
      </c>
      <c r="B6" s="19" t="n">
        <v>0.85</v>
      </c>
      <c r="C6" s="19" t="n">
        <v>0.6</v>
      </c>
      <c r="D6" s="19" t="n">
        <v>0.57</v>
      </c>
      <c r="E6" s="24" t="n">
        <f aca="false">(B6+C6)*100</f>
        <v>145</v>
      </c>
      <c r="F6" s="25" t="n">
        <f aca="false">(B6+D6)*100</f>
        <v>142</v>
      </c>
    </row>
    <row r="7" customFormat="false" ht="15" hidden="false" customHeight="true" outlineLevel="0" collapsed="false">
      <c r="A7" s="4" t="s">
        <v>60</v>
      </c>
      <c r="B7" s="19" t="n">
        <v>0.93</v>
      </c>
      <c r="C7" s="19" t="n">
        <v>0.62</v>
      </c>
      <c r="D7" s="19" t="n">
        <v>0.63</v>
      </c>
      <c r="E7" s="24" t="n">
        <f aca="false">(B7+C7)*100</f>
        <v>155</v>
      </c>
      <c r="F7" s="25" t="n">
        <f aca="false">(B7+D7)*100</f>
        <v>156</v>
      </c>
    </row>
    <row r="9" customFormat="false" ht="15" hidden="false" customHeight="true" outlineLevel="0" collapsed="false">
      <c r="A9" s="17" t="s">
        <v>135</v>
      </c>
    </row>
    <row r="11" customFormat="false" ht="15" hidden="false" customHeight="true" outlineLevel="0" collapsed="false">
      <c r="A11" s="18" t="s">
        <v>136</v>
      </c>
    </row>
    <row r="12" customFormat="false" ht="15" hidden="false" customHeight="true" outlineLevel="0" collapsed="false">
      <c r="A12" s="3" t="s">
        <v>137</v>
      </c>
      <c r="B12" s="3" t="s">
        <v>138</v>
      </c>
      <c r="C12" s="3" t="s">
        <v>132</v>
      </c>
      <c r="D12" s="3" t="s">
        <v>139</v>
      </c>
      <c r="E12" s="3" t="s">
        <v>140</v>
      </c>
    </row>
    <row r="13" customFormat="false" ht="15" hidden="false" customHeight="true" outlineLevel="0" collapsed="false">
      <c r="A13" s="21" t="s">
        <v>141</v>
      </c>
      <c r="B13" s="19" t="n">
        <v>0.82</v>
      </c>
      <c r="C13" s="19" t="n">
        <v>0.63</v>
      </c>
      <c r="D13" s="25" t="n">
        <f aca="false">(B13+C13)*100</f>
        <v>145</v>
      </c>
      <c r="E13" s="26" t="n">
        <v>42.6</v>
      </c>
    </row>
    <row r="14" customFormat="false" ht="15" hidden="false" customHeight="true" outlineLevel="0" collapsed="false">
      <c r="A14" s="4" t="s">
        <v>142</v>
      </c>
      <c r="B14" s="19" t="n">
        <v>0.24</v>
      </c>
      <c r="C14" s="19" t="n">
        <v>0.35</v>
      </c>
      <c r="D14" s="25" t="n">
        <f aca="false">(B14+C14)*100</f>
        <v>59</v>
      </c>
      <c r="E14" s="26" t="n">
        <v>7</v>
      </c>
    </row>
    <row r="15" customFormat="false" ht="15" hidden="false" customHeight="true" outlineLevel="0" collapsed="false">
      <c r="A15" s="4" t="s">
        <v>143</v>
      </c>
      <c r="B15" s="19" t="n">
        <v>0.09</v>
      </c>
      <c r="C15" s="19" t="n">
        <v>0.32</v>
      </c>
      <c r="D15" s="25" t="n">
        <f aca="false">(B15+C15)*100</f>
        <v>41</v>
      </c>
      <c r="E15" s="26" t="n">
        <v>6</v>
      </c>
    </row>
    <row r="16" customFormat="false" ht="15" hidden="false" customHeight="true" outlineLevel="0" collapsed="false">
      <c r="A16" s="4" t="s">
        <v>144</v>
      </c>
      <c r="B16" s="19" t="n">
        <v>0.23</v>
      </c>
      <c r="C16" s="19" t="n">
        <v>0.18</v>
      </c>
      <c r="D16" s="25" t="n">
        <f aca="false">(B16+C16)*100</f>
        <v>41</v>
      </c>
      <c r="E16" s="26" t="n">
        <v>10</v>
      </c>
    </row>
    <row r="17" customFormat="false" ht="15" hidden="false" customHeight="true" outlineLevel="0" collapsed="false">
      <c r="A17" s="4" t="s">
        <v>145</v>
      </c>
      <c r="B17" s="19" t="n">
        <v>0.23</v>
      </c>
      <c r="C17" s="19" t="n">
        <v>0.25</v>
      </c>
      <c r="D17" s="25" t="n">
        <f aca="false">(B17+C17)*100</f>
        <v>48</v>
      </c>
      <c r="E17" s="26" t="n">
        <v>13</v>
      </c>
    </row>
    <row r="18" customFormat="false" ht="15" hidden="false" customHeight="true" outlineLevel="0" collapsed="false">
      <c r="A18" s="4" t="s">
        <v>146</v>
      </c>
      <c r="B18" s="19" t="n">
        <v>0.2</v>
      </c>
      <c r="C18" s="19" t="n">
        <v>0.28</v>
      </c>
      <c r="D18" s="25" t="n">
        <f aca="false">(B18+C18)*100</f>
        <v>48</v>
      </c>
      <c r="E18" s="26" t="n">
        <v>19</v>
      </c>
    </row>
    <row r="19" customFormat="false" ht="15" hidden="false" customHeight="true" outlineLevel="0" collapsed="false">
      <c r="A19" s="4" t="s">
        <v>147</v>
      </c>
      <c r="B19" s="19" t="n">
        <v>0.13</v>
      </c>
      <c r="C19" s="19" t="n">
        <v>0.25</v>
      </c>
      <c r="D19" s="25" t="n">
        <f aca="false">(B19+C19)*100</f>
        <v>38</v>
      </c>
      <c r="E19" s="26" t="n">
        <v>6</v>
      </c>
    </row>
    <row r="22" customFormat="false" ht="15" hidden="false" customHeight="true" outlineLevel="0" collapsed="false">
      <c r="A22" s="18" t="s">
        <v>148</v>
      </c>
    </row>
    <row r="23" customFormat="false" ht="15" hidden="false" customHeight="true" outlineLevel="0" collapsed="false">
      <c r="A23" s="17" t="s">
        <v>149</v>
      </c>
    </row>
    <row r="24" customFormat="false" ht="15" hidden="false" customHeight="true" outlineLevel="0" collapsed="false">
      <c r="A24" s="17" t="s">
        <v>150</v>
      </c>
    </row>
    <row r="25" customFormat="false" ht="15" hidden="false" customHeight="true" outlineLevel="0" collapsed="false">
      <c r="A25" s="3" t="s">
        <v>151</v>
      </c>
      <c r="B25" s="3" t="s">
        <v>152</v>
      </c>
      <c r="C25" s="3" t="s">
        <v>153</v>
      </c>
    </row>
    <row r="27" customFormat="false" ht="15" hidden="false" customHeight="true" outlineLevel="0" collapsed="false">
      <c r="A27" s="4" t="s">
        <v>154</v>
      </c>
      <c r="B27" s="27" t="n">
        <v>10</v>
      </c>
      <c r="C27" s="5" t="s">
        <v>155</v>
      </c>
    </row>
    <row r="28" customFormat="false" ht="15" hidden="false" customHeight="true" outlineLevel="0" collapsed="false">
      <c r="A28" s="4" t="s">
        <v>156</v>
      </c>
      <c r="B28" s="27" t="n">
        <v>10</v>
      </c>
      <c r="C28" s="5" t="s">
        <v>157</v>
      </c>
    </row>
    <row r="29" customFormat="false" ht="15" hidden="false" customHeight="true" outlineLevel="0" collapsed="false">
      <c r="A29" s="4" t="s">
        <v>158</v>
      </c>
      <c r="B29" s="27" t="n">
        <v>5</v>
      </c>
      <c r="C29" s="5" t="s">
        <v>159</v>
      </c>
    </row>
    <row r="30" customFormat="false" ht="15" hidden="false" customHeight="true" outlineLevel="0" collapsed="false">
      <c r="A30" s="4" t="s">
        <v>160</v>
      </c>
      <c r="B30" s="27" t="n">
        <v>0</v>
      </c>
      <c r="C30" s="5" t="s">
        <v>161</v>
      </c>
    </row>
    <row r="31" customFormat="false" ht="15" hidden="false" customHeight="true" outlineLevel="0" collapsed="false">
      <c r="A31" s="4" t="s">
        <v>162</v>
      </c>
      <c r="B31" s="27" t="n">
        <v>5</v>
      </c>
      <c r="C31" s="5" t="s">
        <v>163</v>
      </c>
    </row>
    <row r="32" customFormat="false" ht="15" hidden="false" customHeight="true" outlineLevel="0" collapsed="false">
      <c r="A32" s="21" t="s">
        <v>164</v>
      </c>
      <c r="B32" s="24" t="n">
        <f aca="false">SUM(B27:B31)</f>
        <v>30</v>
      </c>
      <c r="C32" s="4" t="str">
        <f aca="false">IF(B32&gt;=40,"Strong — feeds Bull",IF(B32&gt;=25,"Neutral — acceptable","Risk — feeds Bear"))</f>
        <v>Neutral — acceptable</v>
      </c>
    </row>
    <row r="33" customFormat="false" ht="15" hidden="false" customHeight="true" outlineLevel="0" collapsed="false">
      <c r="A33" s="2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7"/>
  </cols>
  <sheetData>
    <row r="1" customFormat="false" ht="15.75" hidden="false" customHeight="true" outlineLevel="0" collapsed="false">
      <c r="A1" s="2" t="s">
        <v>166</v>
      </c>
    </row>
    <row r="3" customFormat="false" ht="15" hidden="false" customHeight="true" outlineLevel="0" collapsed="false">
      <c r="A3" s="18" t="s">
        <v>167</v>
      </c>
    </row>
    <row r="4" customFormat="false" ht="15" hidden="false" customHeight="true" outlineLevel="0" collapsed="false">
      <c r="A4" s="4" t="s">
        <v>168</v>
      </c>
      <c r="B4" s="15" t="n">
        <v>137.88</v>
      </c>
      <c r="C4" s="5" t="s">
        <v>169</v>
      </c>
    </row>
    <row r="5" customFormat="false" ht="15" hidden="false" customHeight="true" outlineLevel="0" collapsed="false">
      <c r="A5" s="4" t="s">
        <v>170</v>
      </c>
      <c r="B5" s="29" t="s">
        <v>171</v>
      </c>
      <c r="C5" s="5"/>
    </row>
    <row r="6" customFormat="false" ht="15" hidden="false" customHeight="true" outlineLevel="0" collapsed="false">
      <c r="A6" s="4" t="s">
        <v>172</v>
      </c>
      <c r="B6" s="15" t="n">
        <v>153.72</v>
      </c>
      <c r="C6" s="5" t="s">
        <v>173</v>
      </c>
    </row>
    <row r="7" customFormat="false" ht="15" hidden="false" customHeight="true" outlineLevel="0" collapsed="false">
      <c r="A7" s="4" t="s">
        <v>174</v>
      </c>
      <c r="B7" s="19" t="n">
        <v>0.688</v>
      </c>
      <c r="C7" s="5" t="s">
        <v>175</v>
      </c>
    </row>
    <row r="8" customFormat="false" ht="15" hidden="false" customHeight="true" outlineLevel="0" collapsed="false">
      <c r="A8" s="4" t="s">
        <v>176</v>
      </c>
      <c r="B8" s="29" t="s">
        <v>177</v>
      </c>
      <c r="C8" s="5" t="s">
        <v>178</v>
      </c>
    </row>
    <row r="10" customFormat="false" ht="15" hidden="false" customHeight="true" outlineLevel="0" collapsed="false">
      <c r="A10" s="18" t="s">
        <v>179</v>
      </c>
    </row>
    <row r="11" customFormat="false" ht="15" hidden="false" customHeight="true" outlineLevel="0" collapsed="false">
      <c r="A11" s="3" t="s">
        <v>180</v>
      </c>
      <c r="B11" s="3" t="s">
        <v>181</v>
      </c>
      <c r="C11" s="3" t="s">
        <v>182</v>
      </c>
      <c r="D11" s="3" t="s">
        <v>183</v>
      </c>
      <c r="E11" s="3" t="s">
        <v>184</v>
      </c>
      <c r="F11" s="3" t="s">
        <v>185</v>
      </c>
      <c r="G11" s="3" t="s">
        <v>186</v>
      </c>
      <c r="H11" s="3" t="s">
        <v>187</v>
      </c>
    </row>
    <row r="12" customFormat="false" ht="15" hidden="false" customHeight="true" outlineLevel="0" collapsed="false">
      <c r="A12" s="4" t="s">
        <v>188</v>
      </c>
      <c r="B12" s="4" t="s">
        <v>189</v>
      </c>
      <c r="C12" s="29" t="s">
        <v>190</v>
      </c>
      <c r="D12" s="29" t="s">
        <v>191</v>
      </c>
      <c r="E12" s="29" t="s">
        <v>192</v>
      </c>
      <c r="F12" s="29" t="s">
        <v>193</v>
      </c>
      <c r="G12" s="29" t="s">
        <v>194</v>
      </c>
      <c r="H12" s="4" t="s">
        <v>195</v>
      </c>
    </row>
    <row r="13" customFormat="false" ht="15" hidden="false" customHeight="true" outlineLevel="0" collapsed="false">
      <c r="A13" s="4" t="s">
        <v>196</v>
      </c>
      <c r="B13" s="4" t="s">
        <v>197</v>
      </c>
      <c r="C13" s="29" t="s">
        <v>198</v>
      </c>
      <c r="D13" s="29" t="s">
        <v>199</v>
      </c>
      <c r="E13" s="29" t="s">
        <v>200</v>
      </c>
      <c r="F13" s="29" t="s">
        <v>201</v>
      </c>
      <c r="G13" s="29" t="s">
        <v>202</v>
      </c>
      <c r="H13" s="4" t="s">
        <v>203</v>
      </c>
    </row>
    <row r="14" customFormat="false" ht="15" hidden="false" customHeight="true" outlineLevel="0" collapsed="false">
      <c r="A14" s="4" t="s">
        <v>204</v>
      </c>
      <c r="B14" s="4" t="s">
        <v>205</v>
      </c>
      <c r="C14" s="29" t="s">
        <v>206</v>
      </c>
      <c r="D14" s="29" t="s">
        <v>207</v>
      </c>
      <c r="E14" s="29" t="s">
        <v>208</v>
      </c>
      <c r="F14" s="29" t="s">
        <v>209</v>
      </c>
      <c r="G14" s="29" t="s">
        <v>210</v>
      </c>
      <c r="H14" s="4" t="s">
        <v>211</v>
      </c>
    </row>
    <row r="15" customFormat="false" ht="15" hidden="false" customHeight="true" outlineLevel="0" collapsed="false">
      <c r="A15" s="4" t="s">
        <v>212</v>
      </c>
      <c r="B15" s="4" t="s">
        <v>213</v>
      </c>
      <c r="C15" s="29" t="s">
        <v>214</v>
      </c>
      <c r="D15" s="29" t="s">
        <v>215</v>
      </c>
      <c r="E15" s="29" t="s">
        <v>216</v>
      </c>
      <c r="F15" s="29" t="s">
        <v>217</v>
      </c>
      <c r="G15" s="29" t="s">
        <v>218</v>
      </c>
      <c r="H15" s="4" t="s">
        <v>219</v>
      </c>
    </row>
    <row r="17" customFormat="false" ht="15" hidden="false" customHeight="true" outlineLevel="0" collapsed="false">
      <c r="A17" s="28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2026-08-03T20:57:23Z</dcterms:created>
  <dc:creator>openpyxl</dc:creator>
  <dc:description/>
  <dc:language>en-US</dc:language>
  <cp:lastModifiedBy/>
  <dcterms:modified xsi:type="dcterms:W3CDTF">2026-08-03T20:57:54Z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