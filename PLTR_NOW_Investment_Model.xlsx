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LTR_Model" sheetId="2" state="visible" r:id="rId4"/>
    <sheet name="NOW_Model" sheetId="3" state="visible" r:id="rId5"/>
    <sheet name="Comparison" sheetId="4" state="visible" r:id="rId6"/>
    <sheet name="Options_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97" authorId="0">
      <text>
        <r>
          <rPr>
            <sz val="10"/>
            <rFont val="Arial"/>
            <family val="2"/>
          </rPr>
          <t xml:space="preserve">Source: Palantir FY2025 Annual Report</t>
        </r>
      </text>
    </comment>
    <comment ref="A98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B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B7" authorId="0">
      <text>
        <r>
          <rPr>
            <sz val="10"/>
            <rFont val="Arial"/>
            <family val="2"/>
          </rPr>
          <t xml:space="preserve">Source: Palantir FY2024-FY2025 Annual Reports; Q1 2026 Press Release</t>
        </r>
      </text>
    </comment>
    <comment ref="B18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B19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B20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B21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B22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B26" authorId="0">
      <text>
        <r>
          <rPr>
            <sz val="10"/>
            <rFont val="Arial"/>
            <family val="2"/>
          </rPr>
          <t xml:space="preserve">Source: Palantir FY2025 Earnings / Q4 2025 Press Release</t>
        </r>
      </text>
    </comment>
    <comment ref="B29" authorId="0">
      <text>
        <r>
          <rPr>
            <sz val="10"/>
            <rFont val="Arial"/>
            <family val="2"/>
          </rPr>
          <t xml:space="preserve">Source: Palantir FY2026 guidance 71% YoY confirmed; Bull scenario analyst estimates</t>
        </r>
      </text>
    </comment>
    <comment ref="B31" authorId="0">
      <text>
        <r>
          <rPr>
            <sz val="10"/>
            <rFont val="Arial"/>
            <family val="2"/>
          </rPr>
          <t xml:space="preserve">Source: PLTR Q1 2026 adj FCF margin 57%; Bull scenario analyst estimates</t>
        </r>
      </text>
    </comment>
    <comment ref="B35" authorId="0">
      <text>
        <r>
          <rPr>
            <sz val="10"/>
            <rFont val="Arial"/>
            <family val="2"/>
          </rPr>
          <t xml:space="preserve">Source: Palantir FY2026 guidance 71% YoY confirmed; Base scenario analyst estimates</t>
        </r>
      </text>
    </comment>
    <comment ref="B37" authorId="0">
      <text>
        <r>
          <rPr>
            <sz val="10"/>
            <rFont val="Arial"/>
            <family val="2"/>
          </rPr>
          <t xml:space="preserve">Source: PLTR Q1 2026 adj FCF margin 57%; Base scenario analyst estimates</t>
        </r>
      </text>
    </comment>
    <comment ref="B41" authorId="0">
      <text>
        <r>
          <rPr>
            <sz val="10"/>
            <rFont val="Arial"/>
            <family val="2"/>
          </rPr>
          <t xml:space="preserve">Source: Palantir FY2026 guidance 71% YoY confirmed; Bear scenario analyst estimates</t>
        </r>
      </text>
    </comment>
    <comment ref="B43" authorId="0">
      <text>
        <r>
          <rPr>
            <sz val="10"/>
            <rFont val="Arial"/>
            <family val="2"/>
          </rPr>
          <t xml:space="preserve">Source: PLTR Q1 2026 adj FCF margin 57%; Bear scenario analyst estimates</t>
        </r>
      </text>
    </comment>
    <comment ref="B48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B49" authorId="0">
      <text>
        <r>
          <rPr>
            <sz val="10"/>
            <rFont val="Arial"/>
            <family val="2"/>
          </rPr>
          <t xml:space="preserve">Source: Palantir Q1 2026 Earnings Press Release — No debt outstanding</t>
        </r>
      </text>
    </comment>
    <comment ref="B50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B51" authorId="0">
      <text>
        <r>
          <rPr>
            <sz val="10"/>
            <rFont val="Arial"/>
            <family val="2"/>
          </rPr>
          <t xml:space="preserve">Source: Market price as of June 2026 analysis date</t>
        </r>
      </text>
    </comment>
    <comment ref="B54" authorId="0">
      <text>
        <r>
          <rPr>
            <sz val="10"/>
            <rFont val="Arial"/>
            <family val="2"/>
          </rPr>
          <t xml:space="preserve">Source: Analyst assumption; Bull WACC for PLTR</t>
        </r>
      </text>
    </comment>
    <comment ref="B55" authorId="0">
      <text>
        <r>
          <rPr>
            <sz val="10"/>
            <rFont val="Arial"/>
            <family val="2"/>
          </rPr>
          <t xml:space="preserve">Source: Analyst assumption; Bull terminal growth rate</t>
        </r>
      </text>
    </comment>
    <comment ref="B56" authorId="0">
      <text>
        <r>
          <rPr>
            <sz val="10"/>
            <rFont val="Arial"/>
            <family val="2"/>
          </rPr>
          <t xml:space="preserve">Source: Analyst assumption; Bull normalized FCF margin</t>
        </r>
      </text>
    </comment>
    <comment ref="B68" authorId="0">
      <text>
        <r>
          <rPr>
            <sz val="10"/>
            <rFont val="Arial"/>
            <family val="2"/>
          </rPr>
          <t xml:space="preserve">Source: Analyst assumption; Base WACC for PLTR</t>
        </r>
      </text>
    </comment>
    <comment ref="B69" authorId="0">
      <text>
        <r>
          <rPr>
            <sz val="10"/>
            <rFont val="Arial"/>
            <family val="2"/>
          </rPr>
          <t xml:space="preserve">Source: Analyst assumption; Base terminal growth rate</t>
        </r>
      </text>
    </comment>
    <comment ref="B70" authorId="0">
      <text>
        <r>
          <rPr>
            <sz val="10"/>
            <rFont val="Arial"/>
            <family val="2"/>
          </rPr>
          <t xml:space="preserve">Source: Analyst assumption; Base normalized FCF margin</t>
        </r>
      </text>
    </comment>
    <comment ref="B82" authorId="0">
      <text>
        <r>
          <rPr>
            <sz val="10"/>
            <rFont val="Arial"/>
            <family val="2"/>
          </rPr>
          <t xml:space="preserve">Source: Analyst assumption; Bear WACC for PLTR</t>
        </r>
      </text>
    </comment>
    <comment ref="B83" authorId="0">
      <text>
        <r>
          <rPr>
            <sz val="10"/>
            <rFont val="Arial"/>
            <family val="2"/>
          </rPr>
          <t xml:space="preserve">Source: Analyst assumption; Bear terminal growth rate</t>
        </r>
      </text>
    </comment>
    <comment ref="B84" authorId="0">
      <text>
        <r>
          <rPr>
            <sz val="10"/>
            <rFont val="Arial"/>
            <family val="2"/>
          </rPr>
          <t xml:space="preserve">Source: Analyst assumption; Bear normalized FCF margin</t>
        </r>
      </text>
    </comment>
    <comment ref="B97" authorId="0">
      <text>
        <r>
          <rPr>
            <sz val="10"/>
            <rFont val="Arial"/>
            <family val="2"/>
          </rPr>
          <t xml:space="preserve">Source: Palantir FY2025 Annual Report</t>
        </r>
      </text>
    </comment>
    <comment ref="B98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C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C5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C7" authorId="0">
      <text>
        <r>
          <rPr>
            <sz val="10"/>
            <rFont val="Arial"/>
            <family val="2"/>
          </rPr>
          <t xml:space="preserve">Source: Palantir FY2024-FY2025 Annual Reports; Q1 2026 Press Release</t>
        </r>
      </text>
    </comment>
    <comment ref="C10" authorId="0">
      <text>
        <r>
          <rPr>
            <sz val="10"/>
            <rFont val="Arial"/>
            <family val="2"/>
          </rPr>
          <t xml:space="preserve">Source: Palantir FY2025 Annual Report (estimate)</t>
        </r>
      </text>
    </comment>
    <comment ref="C18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C19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C20" authorId="0">
      <text>
        <r>
          <rPr>
            <sz val="10"/>
            <rFont val="Arial"/>
            <family val="2"/>
          </rPr>
          <t xml:space="preserve">Source: Palantir Q1 2026 Press Release, May 4 2026</t>
        </r>
      </text>
    </comment>
    <comment ref="C29" authorId="0">
      <text>
        <r>
          <rPr>
            <sz val="10"/>
            <rFont val="Arial"/>
            <family val="2"/>
          </rPr>
          <t xml:space="preserve">Source: Palantir FY2026 guidance 71% YoY confirmed; Bull scenario analyst estimates</t>
        </r>
      </text>
    </comment>
    <comment ref="C31" authorId="0">
      <text>
        <r>
          <rPr>
            <sz val="10"/>
            <rFont val="Arial"/>
            <family val="2"/>
          </rPr>
          <t xml:space="preserve">Source: PLTR Q1 2026 adj FCF margin 57%; Bull scenario analyst estimates</t>
        </r>
      </text>
    </comment>
    <comment ref="C35" authorId="0">
      <text>
        <r>
          <rPr>
            <sz val="10"/>
            <rFont val="Arial"/>
            <family val="2"/>
          </rPr>
          <t xml:space="preserve">Source: Palantir FY2026 guidance 71% YoY confirmed; Base scenario analyst estimates</t>
        </r>
      </text>
    </comment>
    <comment ref="C37" authorId="0">
      <text>
        <r>
          <rPr>
            <sz val="10"/>
            <rFont val="Arial"/>
            <family val="2"/>
          </rPr>
          <t xml:space="preserve">Source: PLTR Q1 2026 adj FCF margin 57%; Base scenario analyst estimates</t>
        </r>
      </text>
    </comment>
    <comment ref="C41" authorId="0">
      <text>
        <r>
          <rPr>
            <sz val="10"/>
            <rFont val="Arial"/>
            <family val="2"/>
          </rPr>
          <t xml:space="preserve">Source: Palantir FY2026 guidance 71% YoY confirmed; Bear scenario analyst estimates</t>
        </r>
      </text>
    </comment>
    <comment ref="C43" authorId="0">
      <text>
        <r>
          <rPr>
            <sz val="10"/>
            <rFont val="Arial"/>
            <family val="2"/>
          </rPr>
          <t xml:space="preserve">Source: PLTR Q1 2026 adj FCF margin 57%; Bear scenario analyst estimates</t>
        </r>
      </text>
    </comment>
    <comment ref="C97" authorId="0">
      <text>
        <r>
          <rPr>
            <sz val="10"/>
            <rFont val="Arial"/>
            <family val="2"/>
          </rPr>
          <t xml:space="preserve">Source: Palantir FY2025 Annual Report</t>
        </r>
      </text>
    </comment>
    <comment ref="C98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D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D29" authorId="0">
      <text>
        <r>
          <rPr>
            <sz val="10"/>
            <rFont val="Arial"/>
            <family val="2"/>
          </rPr>
          <t xml:space="preserve">Source: Palantir FY2026 guidance 71% YoY confirmed; Bull scenario analyst estimates</t>
        </r>
      </text>
    </comment>
    <comment ref="D31" authorId="0">
      <text>
        <r>
          <rPr>
            <sz val="10"/>
            <rFont val="Arial"/>
            <family val="2"/>
          </rPr>
          <t xml:space="preserve">Source: PLTR Q1 2026 adj FCF margin 57%; Bull scenario analyst estimates</t>
        </r>
      </text>
    </comment>
    <comment ref="D35" authorId="0">
      <text>
        <r>
          <rPr>
            <sz val="10"/>
            <rFont val="Arial"/>
            <family val="2"/>
          </rPr>
          <t xml:space="preserve">Source: Palantir FY2026 guidance 71% YoY confirmed; Base scenario analyst estimates</t>
        </r>
      </text>
    </comment>
    <comment ref="D37" authorId="0">
      <text>
        <r>
          <rPr>
            <sz val="10"/>
            <rFont val="Arial"/>
            <family val="2"/>
          </rPr>
          <t xml:space="preserve">Source: PLTR Q1 2026 adj FCF margin 57%; Base scenario analyst estimates</t>
        </r>
      </text>
    </comment>
    <comment ref="D41" authorId="0">
      <text>
        <r>
          <rPr>
            <sz val="10"/>
            <rFont val="Arial"/>
            <family val="2"/>
          </rPr>
          <t xml:space="preserve">Source: Palantir FY2026 guidance 71% YoY confirmed; Bear scenario analyst estimates</t>
        </r>
      </text>
    </comment>
    <comment ref="D43" authorId="0">
      <text>
        <r>
          <rPr>
            <sz val="10"/>
            <rFont val="Arial"/>
            <family val="2"/>
          </rPr>
          <t xml:space="preserve">Source: PLTR Q1 2026 adj FCF margin 57%; Bear scenario analyst estimates</t>
        </r>
      </text>
    </comment>
    <comment ref="E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E29" authorId="0">
      <text>
        <r>
          <rPr>
            <sz val="10"/>
            <rFont val="Arial"/>
            <family val="2"/>
          </rPr>
          <t xml:space="preserve">Source: Palantir FY2026 guidance 71% YoY confirmed; Bull scenario analyst estimates</t>
        </r>
      </text>
    </comment>
    <comment ref="E31" authorId="0">
      <text>
        <r>
          <rPr>
            <sz val="10"/>
            <rFont val="Arial"/>
            <family val="2"/>
          </rPr>
          <t xml:space="preserve">Source: PLTR Q1 2026 adj FCF margin 57%; Bull scenario analyst estimates</t>
        </r>
      </text>
    </comment>
    <comment ref="E35" authorId="0">
      <text>
        <r>
          <rPr>
            <sz val="10"/>
            <rFont val="Arial"/>
            <family val="2"/>
          </rPr>
          <t xml:space="preserve">Source: Palantir FY2026 guidance 71% YoY confirmed; Base scenario analyst estimates</t>
        </r>
      </text>
    </comment>
    <comment ref="E37" authorId="0">
      <text>
        <r>
          <rPr>
            <sz val="10"/>
            <rFont val="Arial"/>
            <family val="2"/>
          </rPr>
          <t xml:space="preserve">Source: PLTR Q1 2026 adj FCF margin 57%; Base scenario analyst estimates</t>
        </r>
      </text>
    </comment>
    <comment ref="E41" authorId="0">
      <text>
        <r>
          <rPr>
            <sz val="10"/>
            <rFont val="Arial"/>
            <family val="2"/>
          </rPr>
          <t xml:space="preserve">Source: Palantir FY2026 guidance 71% YoY confirmed; Bear scenario analyst estimates</t>
        </r>
      </text>
    </comment>
    <comment ref="E43" authorId="0">
      <text>
        <r>
          <rPr>
            <sz val="10"/>
            <rFont val="Arial"/>
            <family val="2"/>
          </rPr>
          <t xml:space="preserve">Source: PLTR Q1 2026 adj FCF margin 57%; Bear scenario analyst estimates</t>
        </r>
      </text>
    </comment>
    <comment ref="F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F29" authorId="0">
      <text>
        <r>
          <rPr>
            <sz val="10"/>
            <rFont val="Arial"/>
            <family val="2"/>
          </rPr>
          <t xml:space="preserve">Source: Palantir FY2026 guidance 71% YoY confirmed; Bull scenario analyst estimates</t>
        </r>
      </text>
    </comment>
    <comment ref="F31" authorId="0">
      <text>
        <r>
          <rPr>
            <sz val="10"/>
            <rFont val="Arial"/>
            <family val="2"/>
          </rPr>
          <t xml:space="preserve">Source: PLTR Q1 2026 adj FCF margin 57%; Bull scenario analyst estimates</t>
        </r>
      </text>
    </comment>
    <comment ref="F35" authorId="0">
      <text>
        <r>
          <rPr>
            <sz val="10"/>
            <rFont val="Arial"/>
            <family val="2"/>
          </rPr>
          <t xml:space="preserve">Source: Palantir FY2026 guidance 71% YoY confirmed; Base scenario analyst estimates</t>
        </r>
      </text>
    </comment>
    <comment ref="F37" authorId="0">
      <text>
        <r>
          <rPr>
            <sz val="10"/>
            <rFont val="Arial"/>
            <family val="2"/>
          </rPr>
          <t xml:space="preserve">Source: PLTR Q1 2026 adj FCF margin 57%; Base scenario analyst estimates</t>
        </r>
      </text>
    </comment>
    <comment ref="F41" authorId="0">
      <text>
        <r>
          <rPr>
            <sz val="10"/>
            <rFont val="Arial"/>
            <family val="2"/>
          </rPr>
          <t xml:space="preserve">Source: Palantir FY2026 guidance 71% YoY confirmed; Bear scenario analyst estimates</t>
        </r>
      </text>
    </comment>
    <comment ref="F43" authorId="0">
      <text>
        <r>
          <rPr>
            <sz val="10"/>
            <rFont val="Arial"/>
            <family val="2"/>
          </rPr>
          <t xml:space="preserve">Source: PLTR Q1 2026 adj FCF margin 57%; Bear scenario analyst estimates</t>
        </r>
      </text>
    </comment>
    <comment ref="G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H4" authorId="0">
      <text>
        <r>
          <rPr>
            <sz val="10"/>
            <rFont val="Arial"/>
            <family val="2"/>
          </rPr>
          <t xml:space="preserve">Source: Palantir Q4 2025 &amp; Q1 2026 Earnings Press Releases, May 2026</t>
        </r>
      </text>
    </comment>
    <comment ref="H5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6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7" authorId="0">
      <text>
        <r>
          <rPr>
            <sz val="10"/>
            <rFont val="Arial"/>
            <family val="2"/>
          </rPr>
          <t xml:space="preserve">Source: Palantir FY2024-FY2025 Annual Reports; Q1 2026 Press Release</t>
        </r>
      </text>
    </comment>
    <comment ref="H8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9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11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12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13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  <comment ref="H14" authorId="0">
      <text>
        <r>
          <rPr>
            <sz val="10"/>
            <rFont val="Arial"/>
            <family val="2"/>
          </rPr>
          <t xml:space="preserve">Source: Palantir Q1 2026 Earnings Press Release, May 4 2026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4" authorId="0">
      <text>
        <r>
          <rPr>
            <sz val="10"/>
            <rFont val="Arial"/>
            <family val="2"/>
          </rPr>
          <t xml:space="preserve">Source: ServiceNow FY2025 Annual Report; Q1 2026 Earnings Press Release</t>
        </r>
      </text>
    </comment>
    <comment ref="B5" authorId="0">
      <text>
        <r>
          <rPr>
            <sz val="10"/>
            <rFont val="Arial"/>
            <family val="2"/>
          </rPr>
          <t xml:space="preserve">Source: ServiceNow FY2025 Annual Report (est.); Q1 2026 Press Release</t>
        </r>
      </text>
    </comment>
    <comment ref="B6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B12" authorId="0">
      <text>
        <r>
          <rPr>
            <sz val="10"/>
            <rFont val="Arial"/>
            <family val="2"/>
          </rPr>
          <t xml:space="preserve">Source: ServiceNow FY2025 Annual Report (est.); Q1 2026 Press Release</t>
        </r>
      </text>
    </comment>
    <comment ref="B22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B23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B28" authorId="0">
      <text>
        <r>
          <rPr>
            <sz val="10"/>
            <rFont val="Arial"/>
            <family val="2"/>
          </rPr>
          <t xml:space="preserve">Source: ServiceNow FY2025 Annual Report (estimate)</t>
        </r>
      </text>
    </comment>
    <comment ref="B29" authorId="0">
      <text>
        <r>
          <rPr>
            <sz val="10"/>
            <rFont val="Arial"/>
            <family val="2"/>
          </rPr>
          <t xml:space="preserve">Source: ServiceNow FY2026 guidance; subscription revenue $15,755M + PS ~$345M</t>
        </r>
      </text>
    </comment>
    <comment ref="B32" authorId="0">
      <text>
        <r>
          <rPr>
            <sz val="10"/>
            <rFont val="Arial"/>
            <family val="2"/>
          </rPr>
          <t xml:space="preserve">Source: ServiceNow FY2026 guidance ~22%; Bull scenario analyst estimates</t>
        </r>
      </text>
    </comment>
    <comment ref="B34" authorId="0">
      <text>
        <r>
          <rPr>
            <sz val="10"/>
            <rFont val="Arial"/>
            <family val="2"/>
          </rPr>
          <t xml:space="preserve">Source: NOW Q1 2026 non-GAAP FCF margin 44%; Bull scenario analyst estimates</t>
        </r>
      </text>
    </comment>
    <comment ref="B38" authorId="0">
      <text>
        <r>
          <rPr>
            <sz val="10"/>
            <rFont val="Arial"/>
            <family val="2"/>
          </rPr>
          <t xml:space="preserve">Source: ServiceNow FY2026 guidance ~22%; Base scenario analyst estimates</t>
        </r>
      </text>
    </comment>
    <comment ref="B40" authorId="0">
      <text>
        <r>
          <rPr>
            <sz val="10"/>
            <rFont val="Arial"/>
            <family val="2"/>
          </rPr>
          <t xml:space="preserve">Source: NOW Q1 2026 non-GAAP FCF margin 44%; Base scenario analyst estimates</t>
        </r>
      </text>
    </comment>
    <comment ref="B44" authorId="0">
      <text>
        <r>
          <rPr>
            <sz val="10"/>
            <rFont val="Arial"/>
            <family val="2"/>
          </rPr>
          <t xml:space="preserve">Source: ServiceNow FY2026 guidance ~22%; Bear scenario analyst estimates</t>
        </r>
      </text>
    </comment>
    <comment ref="B46" authorId="0">
      <text>
        <r>
          <rPr>
            <sz val="10"/>
            <rFont val="Arial"/>
            <family val="2"/>
          </rPr>
          <t xml:space="preserve">Source: NOW Q1 2026 non-GAAP FCF margin 44%; Bear scenario analyst estimates</t>
        </r>
      </text>
    </comment>
    <comment ref="B51" authorId="0">
      <text>
        <r>
          <rPr>
            <sz val="10"/>
            <rFont val="Arial"/>
            <family val="2"/>
          </rPr>
          <t xml:space="preserve">Source: ServiceNow Q1 2026 Balance Sheet: Cash $2,702M + Mkt Securities $2,480M - Debt $1,491M = $3,691M</t>
        </r>
      </text>
    </comment>
    <comment ref="B52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B53" authorId="0">
      <text>
        <r>
          <rPr>
            <sz val="10"/>
            <rFont val="Arial"/>
            <family val="2"/>
          </rPr>
          <t xml:space="preserve">Source: Market price as of June 2026 analysis date</t>
        </r>
      </text>
    </comment>
    <comment ref="B56" authorId="0">
      <text>
        <r>
          <rPr>
            <sz val="10"/>
            <rFont val="Arial"/>
            <family val="2"/>
          </rPr>
          <t xml:space="preserve">Source: Analyst assumption; Bull WACC for NOW</t>
        </r>
      </text>
    </comment>
    <comment ref="B57" authorId="0">
      <text>
        <r>
          <rPr>
            <sz val="10"/>
            <rFont val="Arial"/>
            <family val="2"/>
          </rPr>
          <t xml:space="preserve">Source: Analyst assumption; Bull terminal growth rate</t>
        </r>
      </text>
    </comment>
    <comment ref="B58" authorId="0">
      <text>
        <r>
          <rPr>
            <sz val="10"/>
            <rFont val="Arial"/>
            <family val="2"/>
          </rPr>
          <t xml:space="preserve">Source: Analyst assumption; Bull normalized FCF margin</t>
        </r>
      </text>
    </comment>
    <comment ref="B70" authorId="0">
      <text>
        <r>
          <rPr>
            <sz val="10"/>
            <rFont val="Arial"/>
            <family val="2"/>
          </rPr>
          <t xml:space="preserve">Source: Analyst assumption; Base WACC for NOW</t>
        </r>
      </text>
    </comment>
    <comment ref="B71" authorId="0">
      <text>
        <r>
          <rPr>
            <sz val="10"/>
            <rFont val="Arial"/>
            <family val="2"/>
          </rPr>
          <t xml:space="preserve">Source: Analyst assumption; Base terminal growth rate</t>
        </r>
      </text>
    </comment>
    <comment ref="B72" authorId="0">
      <text>
        <r>
          <rPr>
            <sz val="10"/>
            <rFont val="Arial"/>
            <family val="2"/>
          </rPr>
          <t xml:space="preserve">Source: Analyst assumption; Base normalized FCF margin</t>
        </r>
      </text>
    </comment>
    <comment ref="B84" authorId="0">
      <text>
        <r>
          <rPr>
            <sz val="10"/>
            <rFont val="Arial"/>
            <family val="2"/>
          </rPr>
          <t xml:space="preserve">Source: Analyst assumption; Bear WACC for NOW</t>
        </r>
      </text>
    </comment>
    <comment ref="B85" authorId="0">
      <text>
        <r>
          <rPr>
            <sz val="10"/>
            <rFont val="Arial"/>
            <family val="2"/>
          </rPr>
          <t xml:space="preserve">Source: Analyst assumption; Bear terminal growth rate</t>
        </r>
      </text>
    </comment>
    <comment ref="B86" authorId="0">
      <text>
        <r>
          <rPr>
            <sz val="10"/>
            <rFont val="Arial"/>
            <family val="2"/>
          </rPr>
          <t xml:space="preserve">Source: Analyst assumption; Bear normalized FCF margin</t>
        </r>
      </text>
    </comment>
    <comment ref="C4" authorId="0">
      <text>
        <r>
          <rPr>
            <sz val="10"/>
            <rFont val="Arial"/>
            <family val="2"/>
          </rPr>
          <t xml:space="preserve">Source: ServiceNow FY2025 Annual Report; Q1 2026 Earnings Press Release</t>
        </r>
      </text>
    </comment>
    <comment ref="C5" authorId="0">
      <text>
        <r>
          <rPr>
            <sz val="10"/>
            <rFont val="Arial"/>
            <family val="2"/>
          </rPr>
          <t xml:space="preserve">Source: ServiceNow FY2025 Annual Report (est.); Q1 2026 Press Release</t>
        </r>
      </text>
    </comment>
    <comment ref="C6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7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8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9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0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1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2" authorId="0">
      <text>
        <r>
          <rPr>
            <sz val="10"/>
            <rFont val="Arial"/>
            <family val="2"/>
          </rPr>
          <t xml:space="preserve">Source: ServiceNow FY2025 Annual Report (est.); Q1 2026 Press Release</t>
        </r>
      </text>
    </comment>
    <comment ref="C13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4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5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6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7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18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22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23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24" authorId="0">
      <text>
        <r>
          <rPr>
            <sz val="10"/>
            <rFont val="Arial"/>
            <family val="2"/>
          </rPr>
          <t xml:space="preserve">Source: ServiceNow Q1 2026 Earnings Press Release</t>
        </r>
      </text>
    </comment>
    <comment ref="C32" authorId="0">
      <text>
        <r>
          <rPr>
            <sz val="10"/>
            <rFont val="Arial"/>
            <family val="2"/>
          </rPr>
          <t xml:space="preserve">Source: ServiceNow FY2026 guidance ~22%; Bull scenario analyst estimates</t>
        </r>
      </text>
    </comment>
    <comment ref="C34" authorId="0">
      <text>
        <r>
          <rPr>
            <sz val="10"/>
            <rFont val="Arial"/>
            <family val="2"/>
          </rPr>
          <t xml:space="preserve">Source: NOW Q1 2026 non-GAAP FCF margin 44%; Bull scenario analyst estimates</t>
        </r>
      </text>
    </comment>
    <comment ref="C38" authorId="0">
      <text>
        <r>
          <rPr>
            <sz val="10"/>
            <rFont val="Arial"/>
            <family val="2"/>
          </rPr>
          <t xml:space="preserve">Source: ServiceNow FY2026 guidance ~22%; Base scenario analyst estimates</t>
        </r>
      </text>
    </comment>
    <comment ref="C40" authorId="0">
      <text>
        <r>
          <rPr>
            <sz val="10"/>
            <rFont val="Arial"/>
            <family val="2"/>
          </rPr>
          <t xml:space="preserve">Source: NOW Q1 2026 non-GAAP FCF margin 44%; Base scenario analyst estimates</t>
        </r>
      </text>
    </comment>
    <comment ref="C44" authorId="0">
      <text>
        <r>
          <rPr>
            <sz val="10"/>
            <rFont val="Arial"/>
            <family val="2"/>
          </rPr>
          <t xml:space="preserve">Source: ServiceNow FY2026 guidance ~22%; Bear scenario analyst estimates</t>
        </r>
      </text>
    </comment>
    <comment ref="C46" authorId="0">
      <text>
        <r>
          <rPr>
            <sz val="10"/>
            <rFont val="Arial"/>
            <family val="2"/>
          </rPr>
          <t xml:space="preserve">Source: NOW Q1 2026 non-GAAP FCF margin 44%; Bear scenario analyst estimates</t>
        </r>
      </text>
    </comment>
    <comment ref="D32" authorId="0">
      <text>
        <r>
          <rPr>
            <sz val="10"/>
            <rFont val="Arial"/>
            <family val="2"/>
          </rPr>
          <t xml:space="preserve">Source: ServiceNow FY2026 guidance ~22%; Bull scenario analyst estimates</t>
        </r>
      </text>
    </comment>
    <comment ref="D34" authorId="0">
      <text>
        <r>
          <rPr>
            <sz val="10"/>
            <rFont val="Arial"/>
            <family val="2"/>
          </rPr>
          <t xml:space="preserve">Source: NOW Q1 2026 non-GAAP FCF margin 44%; Bull scenario analyst estimates</t>
        </r>
      </text>
    </comment>
    <comment ref="D38" authorId="0">
      <text>
        <r>
          <rPr>
            <sz val="10"/>
            <rFont val="Arial"/>
            <family val="2"/>
          </rPr>
          <t xml:space="preserve">Source: ServiceNow FY2026 guidance ~22%; Base scenario analyst estimates</t>
        </r>
      </text>
    </comment>
    <comment ref="D40" authorId="0">
      <text>
        <r>
          <rPr>
            <sz val="10"/>
            <rFont val="Arial"/>
            <family val="2"/>
          </rPr>
          <t xml:space="preserve">Source: NOW Q1 2026 non-GAAP FCF margin 44%; Base scenario analyst estimates</t>
        </r>
      </text>
    </comment>
    <comment ref="D44" authorId="0">
      <text>
        <r>
          <rPr>
            <sz val="10"/>
            <rFont val="Arial"/>
            <family val="2"/>
          </rPr>
          <t xml:space="preserve">Source: ServiceNow FY2026 guidance ~22%; Bear scenario analyst estimates</t>
        </r>
      </text>
    </comment>
    <comment ref="D46" authorId="0">
      <text>
        <r>
          <rPr>
            <sz val="10"/>
            <rFont val="Arial"/>
            <family val="2"/>
          </rPr>
          <t xml:space="preserve">Source: NOW Q1 2026 non-GAAP FCF margin 44%; Bear scenario analyst estimates</t>
        </r>
      </text>
    </comment>
    <comment ref="E32" authorId="0">
      <text>
        <r>
          <rPr>
            <sz val="10"/>
            <rFont val="Arial"/>
            <family val="2"/>
          </rPr>
          <t xml:space="preserve">Source: ServiceNow FY2026 guidance ~22%; Bull scenario analyst estimates</t>
        </r>
      </text>
    </comment>
    <comment ref="E34" authorId="0">
      <text>
        <r>
          <rPr>
            <sz val="10"/>
            <rFont val="Arial"/>
            <family val="2"/>
          </rPr>
          <t xml:space="preserve">Source: NOW Q1 2026 non-GAAP FCF margin 44%; Bull scenario analyst estimates</t>
        </r>
      </text>
    </comment>
    <comment ref="E38" authorId="0">
      <text>
        <r>
          <rPr>
            <sz val="10"/>
            <rFont val="Arial"/>
            <family val="2"/>
          </rPr>
          <t xml:space="preserve">Source: ServiceNow FY2026 guidance ~22%; Base scenario analyst estimates</t>
        </r>
      </text>
    </comment>
    <comment ref="E40" authorId="0">
      <text>
        <r>
          <rPr>
            <sz val="10"/>
            <rFont val="Arial"/>
            <family val="2"/>
          </rPr>
          <t xml:space="preserve">Source: NOW Q1 2026 non-GAAP FCF margin 44%; Base scenario analyst estimates</t>
        </r>
      </text>
    </comment>
    <comment ref="E44" authorId="0">
      <text>
        <r>
          <rPr>
            <sz val="10"/>
            <rFont val="Arial"/>
            <family val="2"/>
          </rPr>
          <t xml:space="preserve">Source: ServiceNow FY2026 guidance ~22%; Bear scenario analyst estimates</t>
        </r>
      </text>
    </comment>
    <comment ref="E46" authorId="0">
      <text>
        <r>
          <rPr>
            <sz val="10"/>
            <rFont val="Arial"/>
            <family val="2"/>
          </rPr>
          <t xml:space="preserve">Source: NOW Q1 2026 non-GAAP FCF margin 44%; Bear scenario analyst estimates</t>
        </r>
      </text>
    </comment>
    <comment ref="F32" authorId="0">
      <text>
        <r>
          <rPr>
            <sz val="10"/>
            <rFont val="Arial"/>
            <family val="2"/>
          </rPr>
          <t xml:space="preserve">Source: ServiceNow FY2026 guidance ~22%; Bull scenario analyst estimates</t>
        </r>
      </text>
    </comment>
    <comment ref="F34" authorId="0">
      <text>
        <r>
          <rPr>
            <sz val="10"/>
            <rFont val="Arial"/>
            <family val="2"/>
          </rPr>
          <t xml:space="preserve">Source: NOW Q1 2026 non-GAAP FCF margin 44%; Bull scenario analyst estimates</t>
        </r>
      </text>
    </comment>
    <comment ref="F38" authorId="0">
      <text>
        <r>
          <rPr>
            <sz val="10"/>
            <rFont val="Arial"/>
            <family val="2"/>
          </rPr>
          <t xml:space="preserve">Source: ServiceNow FY2026 guidance ~22%; Base scenario analyst estimates</t>
        </r>
      </text>
    </comment>
    <comment ref="F40" authorId="0">
      <text>
        <r>
          <rPr>
            <sz val="10"/>
            <rFont val="Arial"/>
            <family val="2"/>
          </rPr>
          <t xml:space="preserve">Source: NOW Q1 2026 non-GAAP FCF margin 44%; Base scenario analyst estimates</t>
        </r>
      </text>
    </comment>
    <comment ref="F44" authorId="0">
      <text>
        <r>
          <rPr>
            <sz val="10"/>
            <rFont val="Arial"/>
            <family val="2"/>
          </rPr>
          <t xml:space="preserve">Source: ServiceNow FY2026 guidance ~22%; Bear scenario analyst estimates</t>
        </r>
      </text>
    </comment>
    <comment ref="F46" authorId="0">
      <text>
        <r>
          <rPr>
            <sz val="10"/>
            <rFont val="Arial"/>
            <family val="2"/>
          </rPr>
          <t xml:space="preserve">Source: NOW Q1 2026 non-GAAP FCF margin 44%; Bear scenario analyst estimates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5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B6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C5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C6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C11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2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3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4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5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6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C17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1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2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3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4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5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6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D17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E5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E6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F5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F6" authorId="0">
      <text>
        <r>
          <rPr>
            <sz val="10"/>
            <rFont val="Arial"/>
            <family val="2"/>
          </rPr>
          <t xml:space="preserve">Source: Palantir/ServiceNow Q1 2026 Press Releases; EV/S and EV/FCF are analyst estimates</t>
        </r>
      </text>
    </comment>
    <comment ref="F11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2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3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4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5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6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  <comment ref="F17" authorId="0">
      <text>
        <r>
          <rPr>
            <sz val="10"/>
            <rFont val="Arial"/>
            <family val="2"/>
          </rPr>
          <t xml:space="preserve">Source: Analyst/consensus estimates approx. June 2026. Verify against Bloomberg/FactSet before use.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A6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A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A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A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A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A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A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B6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B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B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C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C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D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D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E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E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6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F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F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6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G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G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H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5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I6" authorId="0">
      <text>
        <r>
          <rPr>
            <sz val="10"/>
            <rFont val="Arial"/>
            <family val="2"/>
          </rPr>
          <t xml:space="preserve">Source: Market data as of June 2026 analysis date; verify with live data before trading</t>
        </r>
      </text>
    </comment>
    <comment ref="I11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12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13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14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15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  <comment ref="I16" authorId="0">
      <text>
        <r>
          <rPr>
            <sz val="10"/>
            <rFont val="Arial"/>
            <family val="2"/>
          </rPr>
          <t xml:space="preserve">Source: Analyst options strategy estimates as of June 2026. Verify with live quotes before execution.</t>
        </r>
      </text>
    </comment>
  </commentList>
</comments>
</file>

<file path=xl/sharedStrings.xml><?xml version="1.0" encoding="utf-8"?>
<sst xmlns="http://schemas.openxmlformats.org/spreadsheetml/2006/main" count="434" uniqueCount="269">
  <si>
    <t xml:space="preserve">INVESTMENT ANALYSIS DASHBOARD — PLTR vs NOW  |  June 2026</t>
  </si>
  <si>
    <t xml:space="preserve">PALANTIR TECHNOLOGIES (PLTR)</t>
  </si>
  <si>
    <t xml:space="preserve">SERVICENOW (NOW)</t>
  </si>
  <si>
    <t xml:space="preserve">Metric</t>
  </si>
  <si>
    <t xml:space="preserve">Value</t>
  </si>
  <si>
    <t xml:space="preserve">Notes/Source</t>
  </si>
  <si>
    <t xml:space="preserve">Company</t>
  </si>
  <si>
    <t xml:space="preserve">Palantir Technologies</t>
  </si>
  <si>
    <t xml:space="preserve">ServiceNow, Inc.</t>
  </si>
  <si>
    <t xml:space="preserve">Ticker</t>
  </si>
  <si>
    <t xml:space="preserve">PLTR</t>
  </si>
  <si>
    <t xml:space="preserve">NOW</t>
  </si>
  <si>
    <t xml:space="preserve">Current Price ($)</t>
  </si>
  <si>
    <t xml:space="preserve">Market Cap ($B, approx.)</t>
  </si>
  <si>
    <t xml:space="preserve">Price x Diluted Shares</t>
  </si>
  <si>
    <t xml:space="preserve">FY2026 Revenue ($M, Base)</t>
  </si>
  <si>
    <t xml:space="preserve">Base scenario</t>
  </si>
  <si>
    <t xml:space="preserve">FY2026 Rev Growth (Base)</t>
  </si>
  <si>
    <t xml:space="preserve">Gross Margin (Q1 2026)</t>
  </si>
  <si>
    <t xml:space="preserve">Q1 2026 actual</t>
  </si>
  <si>
    <t xml:space="preserve">Non-GAAP Q1 2026</t>
  </si>
  <si>
    <t xml:space="preserve">Adj. Op Margin (Q1 2026)</t>
  </si>
  <si>
    <t xml:space="preserve">Adj./Non-GAAP</t>
  </si>
  <si>
    <t xml:space="preserve">Non-GAAP Op Margin (Q1 '26)</t>
  </si>
  <si>
    <t xml:space="preserve">FCF Margin (Q1 2026)</t>
  </si>
  <si>
    <t xml:space="preserve">Adj. FCF margin</t>
  </si>
  <si>
    <t xml:space="preserve">Non-GAAP</t>
  </si>
  <si>
    <t xml:space="preserve">Rule of 40 (Q1 2026)</t>
  </si>
  <si>
    <t xml:space="preserve">85%+60%=145</t>
  </si>
  <si>
    <t xml:space="preserve">22%+32%=54</t>
  </si>
  <si>
    <t xml:space="preserve">EV/Sales FY2026 (est.)</t>
  </si>
  <si>
    <t xml:space="preserve">Analyst est.</t>
  </si>
  <si>
    <t xml:space="preserve">EV/FCF FY2026 (est.)</t>
  </si>
  <si>
    <t xml:space="preserve">DCF Intrinsic — Bull ($)</t>
  </si>
  <si>
    <t xml:space="preserve">Linked from model</t>
  </si>
  <si>
    <t xml:space="preserve">DCF Intrinsic — Base ($)</t>
  </si>
  <si>
    <t xml:space="preserve">DCF Intrinsic — Bear ($)</t>
  </si>
  <si>
    <t xml:space="preserve">Price vs DCF Base (%)</t>
  </si>
  <si>
    <t xml:space="preserve">(-) = premium</t>
  </si>
  <si>
    <t xml:space="preserve">IV (%)</t>
  </si>
  <si>
    <t xml:space="preserve">June 2026</t>
  </si>
  <si>
    <t xml:space="preserve">IV (%, estimate)</t>
  </si>
  <si>
    <t xml:space="preserve">Verify live</t>
  </si>
  <si>
    <t xml:space="preserve">IV Rank</t>
  </si>
  <si>
    <t xml:space="preserve">IV Rank (estimate)</t>
  </si>
  <si>
    <t xml:space="preserve">200-day SMA ($)</t>
  </si>
  <si>
    <t xml:space="preserve">52-wk High ($)</t>
  </si>
  <si>
    <t xml:space="preserve">52-wk range</t>
  </si>
  <si>
    <t xml:space="preserve">52-Week High (est., $)</t>
  </si>
  <si>
    <t xml:space="preserve">~$170 est.</t>
  </si>
  <si>
    <t xml:space="preserve">52-wk Low ($)</t>
  </si>
  <si>
    <t xml:space="preserve">52-Week Low (est., $)</t>
  </si>
  <si>
    <t xml:space="preserve">~$70 est.</t>
  </si>
  <si>
    <t xml:space="preserve">COLOR CODING LEGEND</t>
  </si>
  <si>
    <t xml:space="preserve">Blue text</t>
  </si>
  <si>
    <t xml:space="preserve">Hardcoded inputs — user-editable assumptions and market data</t>
  </si>
  <si>
    <t xml:space="preserve">Black text</t>
  </si>
  <si>
    <t xml:space="preserve">Formulas and calculated outputs</t>
  </si>
  <si>
    <t xml:space="preserve">Green text</t>
  </si>
  <si>
    <t xml:space="preserve">Cross-sheet links pulling data from PLTR_Model or NOW_Model</t>
  </si>
  <si>
    <t xml:space="preserve">Gold background</t>
  </si>
  <si>
    <t xml:space="preserve">Key output cells: DCF intrinsic values, Rule of 40 scores</t>
  </si>
  <si>
    <t xml:space="preserve">PALANTIR TECHNOLOGIES (PLTR) — Investment Analysis Model</t>
  </si>
  <si>
    <t xml:space="preserve">SECTION A — HISTORICAL DATA (FY2024–Q1 2026)</t>
  </si>
  <si>
    <t xml:space="preserve">FY2024</t>
  </si>
  <si>
    <t xml:space="preserve">FY2025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</si>
  <si>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</si>
  <si>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</si>
  <si>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</si>
  <si>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</si>
  <si>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</si>
  <si>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Revenue ($M)</t>
  </si>
  <si>
    <t xml:space="preserve">YoY Revenue Growth</t>
  </si>
  <si>
    <t xml:space="preserve">Gross Margin</t>
  </si>
  <si>
    <t xml:space="preserve">Adj. Operating Margin</t>
  </si>
  <si>
    <t xml:space="preserve">GAAP Operating Margin</t>
  </si>
  <si>
    <t xml:space="preserve">Adj. FCF Margin</t>
  </si>
  <si>
    <t xml:space="preserve">Adj. FCF ($M)</t>
  </si>
  <si>
    <t xml:space="preserve">Adj. EBITDA ($M)</t>
  </si>
  <si>
    <t xml:space="preserve">Adj. EBITDA Margin</t>
  </si>
  <si>
    <t xml:space="preserve">SBC ($M)</t>
  </si>
  <si>
    <t xml:space="preserve">SBC % of Revenue</t>
  </si>
  <si>
    <t xml:space="preserve">Revenue Segment Detail (Q1 2026)</t>
  </si>
  <si>
    <t xml:space="preserve">Q1 2026 ($M)</t>
  </si>
  <si>
    <t xml:space="preserve">YoY Growth</t>
  </si>
  <si>
    <t xml:space="preserve">US Revenue ($M)</t>
  </si>
  <si>
    <t xml:space="preserve">US Commercial Revenue ($M)</t>
  </si>
  <si>
    <t xml:space="preserve">US Government Revenue ($M)</t>
  </si>
  <si>
    <t xml:space="preserve">International Revenue ($M)</t>
  </si>
  <si>
    <t xml:space="preserve">Total Customers (TTM)</t>
  </si>
  <si>
    <t xml:space="preserve">SECTION B — REVENUE &amp; FCF PROJECTIONS (FY2026–FY2030)</t>
  </si>
  <si>
    <t xml:space="preserve">FY2025 Revenue ($M) [Base year for projections]</t>
  </si>
  <si>
    <t xml:space="preserve">Year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</si>
  <si>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</si>
  <si>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</si>
  <si>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</si>
  <si>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</si>
  <si>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</si>
  <si>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Bull Scenario</t>
  </si>
  <si>
    <t xml:space="preserve">Bull Rev Growth Assumption</t>
  </si>
  <si>
    <t xml:space="preserve">Bull Revenue ($M)</t>
  </si>
  <si>
    <t xml:space="preserve">Bull FCF Margin Assumption</t>
  </si>
  <si>
    <t xml:space="preserve">Bull FCF ($M)</t>
  </si>
  <si>
    <t xml:space="preserve">Base Scenario</t>
  </si>
  <si>
    <t xml:space="preserve">Base Rev Growth Assumption</t>
  </si>
  <si>
    <t xml:space="preserve">Base Revenue ($M)</t>
  </si>
  <si>
    <t xml:space="preserve">Base FCF Margin Assumption</t>
  </si>
  <si>
    <t xml:space="preserve">Base FCF ($M)</t>
  </si>
  <si>
    <t xml:space="preserve">Bear Scenario</t>
  </si>
  <si>
    <t xml:space="preserve">Bear Rev Growth Assumption</t>
  </si>
  <si>
    <t xml:space="preserve">Bear Revenue ($M)</t>
  </si>
  <si>
    <t xml:space="preserve">Bear FCF Margin Assumption</t>
  </si>
  <si>
    <t xml:space="preserve">Bear FCF ($M)</t>
  </si>
  <si>
    <t xml:space="preserve">SECTION C — DCF VALUATION</t>
  </si>
  <si>
    <t xml:space="preserve">Cash + US Treasuries ($M)</t>
  </si>
  <si>
    <t xml:space="preserve">Total Debt ($M)</t>
  </si>
  <si>
    <t xml:space="preserve">Diluted Shares Outstanding (M)</t>
  </si>
  <si>
    <t xml:space="preserve">Current Share Price ($)</t>
  </si>
  <si>
    <t xml:space="preserve">Bull DCF — Assumptions &amp; Output</t>
  </si>
  <si>
    <t xml:space="preserve">Discount Rate (WACC)</t>
  </si>
  <si>
    <t xml:space="preserve">Terminal Growth Rate</t>
  </si>
  <si>
    <t xml:space="preserve">Terminal FCF Margin</t>
  </si>
  <si>
    <t xml:space="preserve">PV of FCFs ($M) — Year 1 to 5</t>
  </si>
  <si>
    <t xml:space="preserve">Sum of PV FCFs ($M)</t>
  </si>
  <si>
    <t xml:space="preserve">Terminal Year FCF ($M)</t>
  </si>
  <si>
    <t xml:space="preserve">Terminal Value ($M) [Gordon Growth]</t>
  </si>
  <si>
    <t xml:space="preserve">PV of Terminal Value ($M)</t>
  </si>
  <si>
    <t xml:space="preserve">Enterprise Value ($M)</t>
  </si>
  <si>
    <t xml:space="preserve">Equity Value ($M) [EV + Cash - Debt]</t>
  </si>
  <si>
    <t xml:space="preserve">Intrinsic Value Per Share ($)</t>
  </si>
  <si>
    <t xml:space="preserve">% Premium(-)/Discount(+) vs Current Price</t>
  </si>
  <si>
    <t xml:space="preserve">Base DCF — Assumptions &amp; Output</t>
  </si>
  <si>
    <t xml:space="preserve">Bear DCF — Assumptions &amp; Output</t>
  </si>
  <si>
    <t xml:space="preserve">SECTION D — RULE OF 40 (HISTORICAL)</t>
  </si>
  <si>
    <t xml:space="preserve">Period</t>
  </si>
  <si>
    <t xml:space="preserve">Revenue Growth</t>
  </si>
  <si>
    <t xml:space="preserve">Adj. Op Margin</t>
  </si>
  <si>
    <t xml:space="preserve">Rule of 40 Score</t>
  </si>
  <si>
    <t xml:space="preserve">SERVICENOW (NOW) — Investment Analysis Model</t>
  </si>
  <si>
    <t xml:space="preserve">SECTION A — HISTORICAL DATA (FY2025–Q1 2026)</t>
  </si>
  <si>
    <t xml:space="preserve">Subscription Revenue ($M)</t>
  </si>
  <si>
    <t xml:space="preserve">Total Revenue ($M)</t>
  </si>
  <si>
    <t xml:space="preserve">Sub Revenue YoY Growth</t>
  </si>
  <si>
    <t xml:space="preserve">GAAP Gross Margin</t>
  </si>
  <si>
    <t xml:space="preserve">Non-GAAP Gross Margin</t>
  </si>
  <si>
    <t xml:space="preserve">Sub Gross Margin (GAAP)</t>
  </si>
  <si>
    <t xml:space="preserve">Sub Gross Margin (Non-GAAP)</t>
  </si>
  <si>
    <t xml:space="preserve">Non-GAAP Operating Margin</t>
  </si>
  <si>
    <t xml:space="preserve">Non-GAAP FCF Margin</t>
  </si>
  <si>
    <t xml:space="preserve">cRPO ($M)</t>
  </si>
  <si>
    <t xml:space="preserve">cRPO YoY Growth</t>
  </si>
  <si>
    <t xml:space="preserve">Total RPO ($M)</t>
  </si>
  <si>
    <t xml:space="preserve">Total RPO YoY Growth</t>
  </si>
  <si>
    <t xml:space="preserve">SECTION D — KEY SaaS METRICS (Q1 2026)</t>
  </si>
  <si>
    <t xml:space="preserve">Growth / Note</t>
  </si>
  <si>
    <t xml:space="preserve">Customers &gt;$5M ACV</t>
  </si>
  <si>
    <t xml:space="preserve">+22% YoY</t>
  </si>
  <si>
    <t xml:space="preserve">Transactions &gt;$5M ACV (Q1)</t>
  </si>
  <si>
    <t xml:space="preserve">+80% YoY</t>
  </si>
  <si>
    <t xml:space="preserve">Now Assist &gt;$1M ACV Customers</t>
  </si>
  <si>
    <t xml:space="preserve">+130% YoY</t>
  </si>
  <si>
    <t xml:space="preserve">FY2025 Total Revenue ($M) [Base year]</t>
  </si>
  <si>
    <t xml:space="preserve">FY2026 Guided Revenue ($M) [Sub $15,755M + PS ~$345M]</t>
  </si>
  <si>
    <t xml:space="preserve">Net Cash Position ($M) [Cash+Mkt Securities-Debt]</t>
  </si>
  <si>
    <t xml:space="preserve">Equity Value ($M) [EV + Net Cash]</t>
  </si>
  <si>
    <t xml:space="preserve">PLTR vs NOW — Comparative Analysis</t>
  </si>
  <si>
    <t xml:space="preserve">RULE OF 40 COMPARISON (Q1 2026)</t>
  </si>
  <si>
    <t xml:space="preserve">FCF/Op Margin</t>
  </si>
  <si>
    <t xml:space="preserve">Rule of 40</t>
  </si>
  <si>
    <t xml:space="preserve">Forward EV/S</t>
  </si>
  <si>
    <t xml:space="preserve">EV/FCF</t>
  </si>
  <si>
    <t xml:space="preserve">Notes</t>
  </si>
  <si>
    <t xml:space="preserve">PLTR (Q1 2026)</t>
  </si>
  <si>
    <t xml:space="preserve">Adj. op margin; AI infrastructure</t>
  </si>
  <si>
    <t xml:space="preserve">NOW (Q1 2026)</t>
  </si>
  <si>
    <t xml:space="preserve">Non-GAAP op margin; Enterprise workflow</t>
  </si>
  <si>
    <t xml:space="preserve">PEER COMPARABLES TABLE (Approximate, June 2026 — VERIFY BEFORE USE)</t>
  </si>
  <si>
    <t xml:space="preserve">Fwd Rev Growth</t>
  </si>
  <si>
    <t xml:space="preserve">FCF Margin</t>
  </si>
  <si>
    <t xml:space="preserve">Fwd EV/S</t>
  </si>
  <si>
    <t xml:space="preserve">Segment / Comment</t>
  </si>
  <si>
    <t xml:space="preserve">Palantir</t>
  </si>
  <si>
    <t xml:space="preserve">AI infrastructure / data analytics</t>
  </si>
  <si>
    <t xml:space="preserve">ServiceNow</t>
  </si>
  <si>
    <t xml:space="preserve">Enterprise workflow / AI platform</t>
  </si>
  <si>
    <t xml:space="preserve">Salesforce</t>
  </si>
  <si>
    <t xml:space="preserve">CRM</t>
  </si>
  <si>
    <t xml:space="preserve">CRM / cloud applications</t>
  </si>
  <si>
    <t xml:space="preserve">Snowflake</t>
  </si>
  <si>
    <t xml:space="preserve">SNOW</t>
  </si>
  <si>
    <t xml:space="preserve">Data cloud / analytics platform</t>
  </si>
  <si>
    <t xml:space="preserve">Datadog</t>
  </si>
  <si>
    <t xml:space="preserve">DDOG</t>
  </si>
  <si>
    <t xml:space="preserve">Observability / monitoring</t>
  </si>
  <si>
    <t xml:space="preserve">CrowdStrike</t>
  </si>
  <si>
    <t xml:space="preserve">CRWD</t>
  </si>
  <si>
    <t xml:space="preserve">Cybersecurity / endpoint protection</t>
  </si>
  <si>
    <t xml:space="preserve">Workday</t>
  </si>
  <si>
    <t xml:space="preserve">WDAY</t>
  </si>
  <si>
    <t xml:space="preserve">HCM / Finance cloud</t>
  </si>
  <si>
    <t xml:space="preserve">NOTE: Peer comps are approximate estimates as of June 2026. Verify against current Bloomberg/FactSet before use.</t>
  </si>
  <si>
    <t xml:space="preserve">VALUATION SUMMARY — CURRENT PRICE vs DCF INTRINSIC VALUE</t>
  </si>
  <si>
    <t xml:space="preserve">Current Price</t>
  </si>
  <si>
    <t xml:space="preserve">DCF Bull</t>
  </si>
  <si>
    <t xml:space="preserve">DCF Base</t>
  </si>
  <si>
    <t xml:space="preserve">DCF Bear</t>
  </si>
  <si>
    <t xml:space="preserve">vs Bull (%)</t>
  </si>
  <si>
    <t xml:space="preserve">vs Base (%)</t>
  </si>
  <si>
    <t xml:space="preserve">OPTIONS STRATEGY — PLTR &amp; NOW (June 2026)</t>
  </si>
  <si>
    <t xml:space="preserve">MARKET DATA REFERENCE (June 2026)</t>
  </si>
  <si>
    <t xml:space="preserve">Price</t>
  </si>
  <si>
    <t xml:space="preserve">200-day SMA</t>
  </si>
  <si>
    <t xml:space="preserve">52-wk Low</t>
  </si>
  <si>
    <t xml:space="preserve">52-wk High</t>
  </si>
  <si>
    <t xml:space="preserve">RSI (est.)</t>
  </si>
  <si>
    <t xml:space="preserve">IV 68.79%; IVR 46.73; trades ~12% below 200-day SMA of $162</t>
  </si>
  <si>
    <t xml:space="preserve">52-wk range $81.24-$211.48; near lower historical range</t>
  </si>
  <si>
    <t xml:space="preserve">OPTIONS STRATEGIES SUMMARY TABLE</t>
  </si>
  <si>
    <t xml:space="preserve">Strategy</t>
  </si>
  <si>
    <t xml:space="preserve">Structure</t>
  </si>
  <si>
    <t xml:space="preserve">Strike(s)</t>
  </si>
  <si>
    <t xml:space="preserve">Expiry</t>
  </si>
  <si>
    <t xml:space="preserve">Premium (est.)</t>
  </si>
  <si>
    <t xml:space="preserve">Max Gain</t>
  </si>
  <si>
    <t xml:space="preserve">Max Loss</t>
  </si>
  <si>
    <t xml:space="preserve">Rationale</t>
  </si>
  <si>
    <t xml:space="preserve">1 — Bear Call Spread</t>
  </si>
  <si>
    <t xml:space="preserve">Sell $155 Call / Buy $165 Call</t>
  </si>
  <si>
    <t xml:space="preserve">$155 / $165</t>
  </si>
  <si>
    <t xml:space="preserve">Aug 2026 (~2mo)</t>
  </si>
  <si>
    <t xml:space="preserve">~$3-4 credit</t>
  </si>
  <si>
    <t xml:space="preserve">~$6-7 per spread</t>
  </si>
  <si>
    <t xml:space="preserve">PLTR trades far above DCF intrinsic; moderate IVR 46.73 supports premium selling; protects existing holders from stall scenarios</t>
  </si>
  <si>
    <t xml:space="preserve">2 — Covered Call</t>
  </si>
  <si>
    <t xml:space="preserve">Sell OTM Call vs long shares</t>
  </si>
  <si>
    <t xml:space="preserve">$155-160</t>
  </si>
  <si>
    <t xml:space="preserve">6-8 weeks out</t>
  </si>
  <si>
    <t xml:space="preserve">~$5-7/contract</t>
  </si>
  <si>
    <t xml:space="preserve">~$5-7 premium</t>
  </si>
  <si>
    <t xml:space="preserve">Uncapped above strike</t>
  </si>
  <si>
    <t xml:space="preserve">At ~69% IV, significant premium income; reduces cost basis; best for long holders not expecting near-term rally</t>
  </si>
  <si>
    <t xml:space="preserve">3 — Cash-Secured Put</t>
  </si>
  <si>
    <t xml:space="preserve">Sell OTM Put / Hold cash</t>
  </si>
  <si>
    <t xml:space="preserve">$120-125</t>
  </si>
  <si>
    <t xml:space="preserve">~8 weeks out</t>
  </si>
  <si>
    <t xml:space="preserve">~$8-10</t>
  </si>
  <si>
    <t xml:space="preserve">~$8-10 premium</t>
  </si>
  <si>
    <t xml:space="preserve">Assigned at ~$110-117</t>
  </si>
  <si>
    <t xml:space="preserve">Effective cost basis ~$110-117 if assigned (near DCF bull ~$78 zone); income if PLTR holds above strike</t>
  </si>
  <si>
    <t xml:space="preserve">1 — Long Call Spread</t>
  </si>
  <si>
    <t xml:space="preserve">Buy $120 Call / Sell $150 Call</t>
  </si>
  <si>
    <t xml:space="preserve">$120 / $150</t>
  </si>
  <si>
    <t xml:space="preserve">Jan 2027 (~7mo)</t>
  </si>
  <si>
    <t xml:space="preserve">~$10-12 debit</t>
  </si>
  <si>
    <t xml:space="preserve">~$18-20 at $150</t>
  </si>
  <si>
    <t xml:space="preserve">Defined risk bullish play; NOW at/below DCF base case; captures recovery toward $129+ intrinsic value; ~1.7:1 R/R</t>
  </si>
  <si>
    <t xml:space="preserve">2 — Cash-Secured Put</t>
  </si>
  <si>
    <t xml:space="preserve">$110</t>
  </si>
  <si>
    <t xml:space="preserve">8-10 weeks out</t>
  </si>
  <si>
    <t xml:space="preserve">~$7-9</t>
  </si>
  <si>
    <t xml:space="preserve">~$7-9 premium</t>
  </si>
  <si>
    <t xml:space="preserve">Assigned at ~$101-103</t>
  </si>
  <si>
    <t xml:space="preserve">Entry well below DCF base $129; significant margin of safety if assigned; income generation otherwise</t>
  </si>
  <si>
    <t xml:space="preserve">3 — Covered Call Enh.</t>
  </si>
  <si>
    <t xml:space="preserve">$135-140</t>
  </si>
  <si>
    <t xml:space="preserve">~$4-6/contract</t>
  </si>
  <si>
    <t xml:space="preserve">~$4-6 premium</t>
  </si>
  <si>
    <t xml:space="preserve">Income enhancement for existing NOW holders; generates yield while holding quality name near lows</t>
  </si>
  <si>
    <t xml:space="preserve">DISCLAIMER: Options strategies are for educational/analytical purposes only. Verify all premiums with live market data. Options trading involves significant risk of loss. Consult a licensed financial advisor before trading.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</si>
</sst>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\$#,##0.00;&quot;($&quot;#,##0.00\);\-"/>
    <numFmt numFmtId="167" formatCode="\$#,##0.0;&quot;($&quot;#,##0.0\);\-"/>
    <numFmt numFmtId="168" formatCode="\$#,##0;&quot;($&quot;#,##0\);\-"/>
    <numFmt numFmtId="169" formatCode="0.0%;\(0.0%\);\-"/>
    <numFmt numFmtId="170" formatCode="#,##0.0;\(#,##0.0\);\-"/>
    <numFmt numFmtId="171" formatCode="0.0\x;\(0.0&quot;x)&quot;;\-"/>
    <numFmt numFmtId="172" formatCode="#,##0.0"/>
    <numFmt numFmtId="173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6B75"/>
      </patternFill>
    </fill>
    <fill>
      <patternFill patternType="solid">
        <fgColor rgb="FF1F6B75"/>
        <bgColor rgb="FF008080"/>
      </patternFill>
    </fill>
    <fill>
      <patternFill patternType="solid">
        <fgColor rgb="FF404040"/>
        <bgColor rgb="FF1F3864"/>
      </patternFill>
    </fill>
    <fill>
      <patternFill patternType="solid">
        <fgColor rgb="FFD6E4F0"/>
        <bgColor rgb="FFD9EDF0"/>
      </patternFill>
    </fill>
    <fill>
      <patternFill patternType="solid">
        <fgColor rgb="FFD9D9D9"/>
        <bgColor rgb="FFD6E4F0"/>
      </patternFill>
    </fill>
    <fill>
      <patternFill patternType="solid">
        <fgColor rgb="FFD9EDF0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C0C0C0"/>
      <rgbColor rgb="FF808080"/>
      <rgbColor rgb="FF9999FF"/>
      <rgbColor rgb="FF993366"/>
      <rgbColor rgb="FFFFF2CC"/>
      <rgbColor rgb="FFD9ED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2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A3" s="3" t="s">
        <v>1</v>
      </c>
      <c r="B3" s="3"/>
      <c r="C3" s="3"/>
      <c r="E3" s="4" t="s">
        <v>2</v>
      </c>
      <c r="F3" s="4"/>
      <c r="G3" s="4"/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E4" s="5" t="s">
        <v>3</v>
      </c>
      <c r="F4" s="5" t="s">
        <v>4</v>
      </c>
      <c r="G4" s="5" t="s">
        <v>5</v>
      </c>
    </row>
    <row r="5" customFormat="false" ht="15" hidden="false" customHeight="true" outlineLevel="0" collapsed="false">
      <c r="A5" s="6" t="s">
        <v>6</v>
      </c>
      <c r="B5" s="7" t="s">
        <v>7</v>
      </c>
      <c r="C5" s="8"/>
      <c r="D5" s="9"/>
      <c r="E5" s="10" t="s">
        <v>6</v>
      </c>
      <c r="F5" s="11" t="s">
        <v>8</v>
      </c>
      <c r="G5" s="12"/>
    </row>
    <row r="6" customFormat="false" ht="15" hidden="false" customHeight="true" outlineLevel="0" collapsed="false">
      <c r="A6" s="13" t="s">
        <v>9</v>
      </c>
      <c r="B6" s="14" t="s">
        <v>10</v>
      </c>
      <c r="D6" s="9"/>
      <c r="E6" s="13" t="s">
        <v>9</v>
      </c>
      <c r="F6" s="14" t="s">
        <v>11</v>
      </c>
    </row>
    <row r="7" customFormat="false" ht="15" hidden="false" customHeight="true" outlineLevel="0" collapsed="false">
      <c r="A7" s="6" t="s">
        <v>12</v>
      </c>
      <c r="B7" s="15" t="n">
        <f aca="false">PLTR_Model!$B$51</f>
        <v>141.51</v>
      </c>
      <c r="C7" s="8"/>
      <c r="D7" s="9"/>
      <c r="E7" s="10" t="s">
        <v>12</v>
      </c>
      <c r="F7" s="16" t="n">
        <f aca="false">NOW_Model!$B$53</f>
        <v>119.29</v>
      </c>
      <c r="G7" s="12"/>
    </row>
    <row r="8" customFormat="false" ht="15" hidden="false" customHeight="true" outlineLevel="0" collapsed="false">
      <c r="A8" s="13" t="s">
        <v>13</v>
      </c>
      <c r="B8" s="17" t="n">
        <f aca="false">PLTR_Model!$B$51*PLTR_Model!$B$50/1000</f>
        <v>363.82221</v>
      </c>
      <c r="C8" s="18" t="s">
        <v>14</v>
      </c>
      <c r="D8" s="9"/>
      <c r="E8" s="13" t="s">
        <v>13</v>
      </c>
      <c r="F8" s="17" t="n">
        <f aca="false">NOW_Model!$B$53*NOW_Model!$B$52/1000</f>
        <v>124.0616</v>
      </c>
      <c r="G8" s="18" t="s">
        <v>14</v>
      </c>
    </row>
    <row r="9" customFormat="false" ht="15" hidden="false" customHeight="true" outlineLevel="0" collapsed="false">
      <c r="A9" s="6" t="s">
        <v>15</v>
      </c>
      <c r="B9" s="19" t="n">
        <f aca="false">PLTR_Model!B36</f>
        <v>7655.67</v>
      </c>
      <c r="C9" s="20" t="s">
        <v>16</v>
      </c>
      <c r="D9" s="9"/>
      <c r="E9" s="10" t="s">
        <v>15</v>
      </c>
      <c r="F9" s="21" t="n">
        <f aca="false">NOW_Model!B39</f>
        <v>16100</v>
      </c>
      <c r="G9" s="22" t="s">
        <v>16</v>
      </c>
    </row>
    <row r="10" customFormat="false" ht="15" hidden="false" customHeight="true" outlineLevel="0" collapsed="false">
      <c r="A10" s="13" t="s">
        <v>17</v>
      </c>
      <c r="B10" s="23" t="n">
        <f aca="false">PLTR_Model!B35</f>
        <v>0.71</v>
      </c>
      <c r="C10" s="18" t="s">
        <v>16</v>
      </c>
      <c r="D10" s="9"/>
      <c r="E10" s="13" t="s">
        <v>17</v>
      </c>
      <c r="F10" s="23" t="n">
        <f aca="false">NOW_Model!B38</f>
        <v>0.22</v>
      </c>
      <c r="G10" s="18" t="s">
        <v>16</v>
      </c>
    </row>
    <row r="11" customFormat="false" ht="15" hidden="false" customHeight="true" outlineLevel="0" collapsed="false">
      <c r="A11" s="6" t="s">
        <v>18</v>
      </c>
      <c r="B11" s="24" t="n">
        <v>0.87</v>
      </c>
      <c r="C11" s="20" t="s">
        <v>19</v>
      </c>
      <c r="D11" s="9"/>
      <c r="E11" s="10" t="s">
        <v>18</v>
      </c>
      <c r="F11" s="25" t="n">
        <v>0.795</v>
      </c>
      <c r="G11" s="22" t="s">
        <v>20</v>
      </c>
    </row>
    <row r="12" customFormat="false" ht="15" hidden="false" customHeight="true" outlineLevel="0" collapsed="false">
      <c r="A12" s="13" t="s">
        <v>21</v>
      </c>
      <c r="B12" s="26" t="n">
        <v>0.6</v>
      </c>
      <c r="C12" s="18" t="s">
        <v>22</v>
      </c>
      <c r="D12" s="9"/>
      <c r="E12" s="13" t="s">
        <v>23</v>
      </c>
      <c r="F12" s="26" t="n">
        <v>0.32</v>
      </c>
      <c r="G12" s="18" t="s">
        <v>20</v>
      </c>
    </row>
    <row r="13" customFormat="false" ht="15" hidden="false" customHeight="true" outlineLevel="0" collapsed="false">
      <c r="A13" s="6" t="s">
        <v>24</v>
      </c>
      <c r="B13" s="24" t="n">
        <v>0.57</v>
      </c>
      <c r="C13" s="20" t="s">
        <v>25</v>
      </c>
      <c r="D13" s="9"/>
      <c r="E13" s="10" t="s">
        <v>24</v>
      </c>
      <c r="F13" s="25" t="n">
        <v>0.44</v>
      </c>
      <c r="G13" s="22" t="s">
        <v>26</v>
      </c>
    </row>
    <row r="14" customFormat="false" ht="15" hidden="false" customHeight="true" outlineLevel="0" collapsed="false">
      <c r="A14" s="13" t="s">
        <v>27</v>
      </c>
      <c r="B14" s="27" t="n">
        <v>145</v>
      </c>
      <c r="C14" s="18" t="s">
        <v>28</v>
      </c>
      <c r="D14" s="9"/>
      <c r="E14" s="13" t="s">
        <v>27</v>
      </c>
      <c r="F14" s="27" t="n">
        <v>54</v>
      </c>
      <c r="G14" s="18" t="s">
        <v>29</v>
      </c>
    </row>
    <row r="15" customFormat="false" ht="15" hidden="false" customHeight="true" outlineLevel="0" collapsed="false">
      <c r="A15" s="6" t="s">
        <v>30</v>
      </c>
      <c r="B15" s="28" t="n">
        <v>46.5</v>
      </c>
      <c r="C15" s="20" t="s">
        <v>31</v>
      </c>
      <c r="D15" s="9"/>
      <c r="E15" s="10" t="s">
        <v>30</v>
      </c>
      <c r="F15" s="29" t="n">
        <v>7.5</v>
      </c>
      <c r="G15" s="22" t="s">
        <v>31</v>
      </c>
    </row>
    <row r="16" customFormat="false" ht="15" hidden="false" customHeight="true" outlineLevel="0" collapsed="false">
      <c r="A16" s="13" t="s">
        <v>32</v>
      </c>
      <c r="B16" s="30" t="n">
        <v>82.7</v>
      </c>
      <c r="C16" s="18" t="s">
        <v>31</v>
      </c>
      <c r="D16" s="9"/>
      <c r="E16" s="13" t="s">
        <v>32</v>
      </c>
      <c r="F16" s="30" t="n">
        <v>21.3</v>
      </c>
      <c r="G16" s="18" t="s">
        <v>31</v>
      </c>
    </row>
    <row r="17" customFormat="false" ht="15" hidden="false" customHeight="true" outlineLevel="0" collapsed="false">
      <c r="A17" s="6" t="s">
        <v>33</v>
      </c>
      <c r="B17" s="31" t="n">
        <f aca="false">PLTR_Model!$B$64</f>
        <v>71.3838724200621</v>
      </c>
      <c r="C17" s="20" t="s">
        <v>34</v>
      </c>
      <c r="D17" s="9"/>
      <c r="E17" s="10" t="s">
        <v>33</v>
      </c>
      <c r="F17" s="31" t="n">
        <f aca="false">NOW_Model!$B$66</f>
        <v>178.71137787003</v>
      </c>
      <c r="G17" s="22" t="s">
        <v>34</v>
      </c>
    </row>
    <row r="18" customFormat="false" ht="15" hidden="false" customHeight="true" outlineLevel="0" collapsed="false">
      <c r="A18" s="13" t="s">
        <v>35</v>
      </c>
      <c r="B18" s="31" t="n">
        <f aca="false">PLTR_Model!$B$78</f>
        <v>40.1577935475671</v>
      </c>
      <c r="C18" s="18" t="s">
        <v>34</v>
      </c>
      <c r="D18" s="9"/>
      <c r="E18" s="13" t="s">
        <v>35</v>
      </c>
      <c r="F18" s="31" t="n">
        <f aca="false">NOW_Model!$B$80</f>
        <v>126.262365348734</v>
      </c>
      <c r="G18" s="18" t="s">
        <v>34</v>
      </c>
    </row>
    <row r="19" customFormat="false" ht="15" hidden="false" customHeight="true" outlineLevel="0" collapsed="false">
      <c r="A19" s="6" t="s">
        <v>36</v>
      </c>
      <c r="B19" s="31" t="n">
        <f aca="false">PLTR_Model!$B$92</f>
        <v>20.5045453074175</v>
      </c>
      <c r="C19" s="20" t="s">
        <v>34</v>
      </c>
      <c r="D19" s="9"/>
      <c r="E19" s="10" t="s">
        <v>36</v>
      </c>
      <c r="F19" s="31" t="n">
        <f aca="false">NOW_Model!$B$94</f>
        <v>81.037468097188</v>
      </c>
      <c r="G19" s="22" t="s">
        <v>34</v>
      </c>
    </row>
    <row r="20" customFormat="false" ht="15" hidden="false" customHeight="true" outlineLevel="0" collapsed="false">
      <c r="A20" s="13" t="s">
        <v>37</v>
      </c>
      <c r="B20" s="23" t="n">
        <f aca="false">(PLTR_Model!$B$51-PLTR_Model!$B$78)/PLTR_Model!$B$78</f>
        <v>2.52384898419234</v>
      </c>
      <c r="C20" s="18" t="s">
        <v>38</v>
      </c>
      <c r="D20" s="9"/>
      <c r="E20" s="13" t="s">
        <v>37</v>
      </c>
      <c r="F20" s="23" t="n">
        <f aca="false">(NOW_Model!$B$53-NOW_Model!$B$80)/NOW_Model!$B$80</f>
        <v>-0.0552212476732598</v>
      </c>
      <c r="G20" s="18" t="s">
        <v>38</v>
      </c>
    </row>
    <row r="21" customFormat="false" ht="15" hidden="false" customHeight="true" outlineLevel="0" collapsed="false">
      <c r="A21" s="6" t="s">
        <v>39</v>
      </c>
      <c r="B21" s="24" t="n">
        <v>0.6879</v>
      </c>
      <c r="C21" s="20" t="s">
        <v>40</v>
      </c>
      <c r="D21" s="9"/>
      <c r="E21" s="10" t="s">
        <v>41</v>
      </c>
      <c r="F21" s="32"/>
      <c r="G21" s="22" t="s">
        <v>42</v>
      </c>
    </row>
    <row r="22" customFormat="false" ht="15" hidden="false" customHeight="true" outlineLevel="0" collapsed="false">
      <c r="A22" s="13" t="s">
        <v>43</v>
      </c>
      <c r="B22" s="33" t="n">
        <v>46.73</v>
      </c>
      <c r="C22" s="18" t="s">
        <v>40</v>
      </c>
      <c r="D22" s="9"/>
      <c r="E22" s="13" t="s">
        <v>44</v>
      </c>
      <c r="F22" s="34"/>
      <c r="G22" s="18" t="s">
        <v>42</v>
      </c>
    </row>
    <row r="23" customFormat="false" ht="15" hidden="false" customHeight="true" outlineLevel="0" collapsed="false">
      <c r="A23" s="6" t="s">
        <v>45</v>
      </c>
      <c r="B23" s="35" t="n">
        <v>162</v>
      </c>
      <c r="C23" s="20" t="s">
        <v>40</v>
      </c>
      <c r="D23" s="9"/>
      <c r="E23" s="10" t="s">
        <v>46</v>
      </c>
      <c r="F23" s="36" t="n">
        <v>211.48</v>
      </c>
      <c r="G23" s="22" t="s">
        <v>47</v>
      </c>
    </row>
    <row r="24" customFormat="false" ht="15" hidden="false" customHeight="true" outlineLevel="0" collapsed="false">
      <c r="A24" s="13" t="s">
        <v>48</v>
      </c>
      <c r="B24" s="37"/>
      <c r="C24" s="18" t="s">
        <v>49</v>
      </c>
      <c r="D24" s="9"/>
      <c r="E24" s="13" t="s">
        <v>50</v>
      </c>
      <c r="F24" s="38" t="n">
        <v>81.24</v>
      </c>
      <c r="G24" s="18" t="s">
        <v>47</v>
      </c>
    </row>
    <row r="25" customFormat="false" ht="15" hidden="false" customHeight="true" outlineLevel="0" collapsed="false">
      <c r="A25" s="6" t="s">
        <v>51</v>
      </c>
      <c r="B25" s="39"/>
      <c r="C25" s="20" t="s">
        <v>52</v>
      </c>
      <c r="D25" s="9"/>
      <c r="E25" s="10" t="s">
        <v>45</v>
      </c>
      <c r="F25" s="40"/>
      <c r="G25" s="22" t="s">
        <v>42</v>
      </c>
    </row>
    <row r="28" customFormat="false" ht="15" hidden="false" customHeight="true" outlineLevel="0" collapsed="false">
      <c r="A28" s="41" t="s">
        <v>53</v>
      </c>
      <c r="B28" s="42"/>
      <c r="C28" s="42"/>
      <c r="D28" s="42"/>
      <c r="E28" s="42"/>
      <c r="F28" s="42"/>
      <c r="G28" s="42"/>
    </row>
    <row r="29" customFormat="false" ht="15" hidden="false" customHeight="true" outlineLevel="0" collapsed="false">
      <c r="A29" s="43" t="s">
        <v>54</v>
      </c>
      <c r="B29" s="44" t="s">
        <v>55</v>
      </c>
      <c r="C29" s="44"/>
      <c r="D29" s="44"/>
      <c r="E29" s="44"/>
      <c r="F29" s="44"/>
      <c r="G29" s="44"/>
    </row>
    <row r="30" customFormat="false" ht="15" hidden="false" customHeight="true" outlineLevel="0" collapsed="false">
      <c r="A30" s="45" t="s">
        <v>56</v>
      </c>
      <c r="B30" s="44" t="s">
        <v>57</v>
      </c>
      <c r="C30" s="44"/>
      <c r="D30" s="44"/>
      <c r="E30" s="44"/>
      <c r="F30" s="44"/>
      <c r="G30" s="44"/>
    </row>
    <row r="31" customFormat="false" ht="15" hidden="false" customHeight="true" outlineLevel="0" collapsed="false">
      <c r="A31" s="46" t="s">
        <v>58</v>
      </c>
      <c r="B31" s="44" t="s">
        <v>59</v>
      </c>
      <c r="C31" s="44"/>
      <c r="D31" s="44"/>
      <c r="E31" s="44"/>
      <c r="F31" s="44"/>
      <c r="G31" s="44"/>
    </row>
    <row r="32" customFormat="false" ht="15" hidden="false" customHeight="true" outlineLevel="0" collapsed="false">
      <c r="A32" s="47" t="s">
        <v>60</v>
      </c>
      <c r="B32" s="44" t="s">
        <v>61</v>
      </c>
      <c r="C32" s="44"/>
      <c r="D32" s="44"/>
      <c r="E32" s="44"/>
      <c r="F32" s="44"/>
      <c r="G32" s="44"/>
    </row>
  </sheetData>
  <mergeCells count="7">
    <mergeCell ref="A1:G1"/>
    <mergeCell ref="A3:C3"/>
    <mergeCell ref="E3:G3"/>
    <mergeCell ref="B29:G29"/>
    <mergeCell ref="B30:G30"/>
    <mergeCell ref="B31:G31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10" min="2" style="1" width="14"/>
  </cols>
  <sheetData>
    <row r="1" customFormat="false" ht="27.75" hidden="false" customHeight="true" outlineLevel="0" collapsed="false">
      <c r="A1" s="48" t="s">
        <v>62</v>
      </c>
      <c r="B1" s="48"/>
      <c r="C1" s="48"/>
      <c r="D1" s="48"/>
      <c r="E1" s="48"/>
      <c r="F1" s="48"/>
      <c r="G1" s="48"/>
      <c r="H1" s="48"/>
      <c r="I1" s="48"/>
      <c r="J1" s="48"/>
    </row>
    <row r="2" customFormat="false" ht="23.25" hidden="false" customHeight="true" outlineLevel="0" collapsed="false">
      <c r="A2" s="49" t="s">
        <v>63</v>
      </c>
      <c r="B2" s="50"/>
      <c r="C2" s="50"/>
      <c r="D2" s="50"/>
      <c r="E2" s="50"/>
      <c r="F2" s="50"/>
      <c r="G2" s="50"/>
      <c r="H2" s="50"/>
      <c r="I2" s="50"/>
      <c r="J2" s="50"/>
    </row>
    <row r="3" customFormat="false" ht="15" hidden="false" customHeight="true" outlineLevel="0" collapsed="false">
      <c r="A3" s="42" t="s">
        <v>3</v>
      </c>
      <c r="B3" s="42" t="s">
        <v>64</v>
      </c>
      <c r="C3" s="42" t="s">
        <v>65</v>
      </c>
      <c r="D3" s="42" t="s">
        <v>66</v>
      </c>
      <c r="E3" s="42" t="s">
        <v>67</v>
      </c>
      <c r="F3" s="42" t="s">
        <v>68</v>
      </c>
      <c r="G3" s="42" t="s">
        <v>69</v>
      </c>
      <c r="H3" s="42" t="s">
        <v>70</v>
      </c>
      <c r="I3" s="42"/>
      <c r="J3" s="42"/>
    </row>
    <row r="4" customFormat="false" ht="15" hidden="false" customHeight="true" outlineLevel="0" collapsed="false">
      <c r="A4" s="51" t="s">
        <v>71</v>
      </c>
      <c r="B4" s="52" t="n">
        <v>2865</v>
      </c>
      <c r="C4" s="52" t="n">
        <v>4477</v>
      </c>
      <c r="D4" s="52" t="n">
        <v>883.9</v>
      </c>
      <c r="E4" s="52" t="n">
        <v>1004</v>
      </c>
      <c r="F4" s="52" t="n">
        <v>1181</v>
      </c>
      <c r="G4" s="52" t="n">
        <v>1408</v>
      </c>
      <c r="H4" s="52" t="n">
        <v>1632.6</v>
      </c>
    </row>
    <row r="5" customFormat="false" ht="15" hidden="false" customHeight="true" outlineLevel="0" collapsed="false">
      <c r="A5" s="13" t="s">
        <v>72</v>
      </c>
      <c r="B5" s="53"/>
      <c r="C5" s="26" t="n">
        <v>0.563</v>
      </c>
      <c r="D5" s="53"/>
      <c r="E5" s="53"/>
      <c r="F5" s="53"/>
      <c r="G5" s="53"/>
      <c r="H5" s="26" t="n">
        <v>0.869</v>
      </c>
    </row>
    <row r="6" customFormat="false" ht="15" hidden="false" customHeight="true" outlineLevel="0" collapsed="false">
      <c r="A6" s="51" t="s">
        <v>73</v>
      </c>
      <c r="B6" s="54"/>
      <c r="C6" s="54"/>
      <c r="D6" s="54"/>
      <c r="E6" s="54"/>
      <c r="F6" s="54"/>
      <c r="G6" s="54"/>
      <c r="H6" s="55" t="n">
        <v>0.87</v>
      </c>
    </row>
    <row r="7" customFormat="false" ht="15" hidden="false" customHeight="true" outlineLevel="0" collapsed="false">
      <c r="A7" s="13" t="s">
        <v>74</v>
      </c>
      <c r="B7" s="26" t="n">
        <v>0.36</v>
      </c>
      <c r="C7" s="26" t="n">
        <v>0.5</v>
      </c>
      <c r="D7" s="53"/>
      <c r="E7" s="53"/>
      <c r="F7" s="53"/>
      <c r="G7" s="53"/>
      <c r="H7" s="26" t="n">
        <v>0.6</v>
      </c>
    </row>
    <row r="8" customFormat="false" ht="15" hidden="false" customHeight="true" outlineLevel="0" collapsed="false">
      <c r="A8" s="51" t="s">
        <v>75</v>
      </c>
      <c r="B8" s="54"/>
      <c r="C8" s="54"/>
      <c r="D8" s="54"/>
      <c r="E8" s="54"/>
      <c r="F8" s="54"/>
      <c r="G8" s="54"/>
      <c r="H8" s="55" t="n">
        <v>0.46</v>
      </c>
    </row>
    <row r="9" customFormat="false" ht="15" hidden="false" customHeight="true" outlineLevel="0" collapsed="false">
      <c r="A9" s="13" t="s">
        <v>76</v>
      </c>
      <c r="B9" s="53"/>
      <c r="C9" s="53"/>
      <c r="D9" s="53"/>
      <c r="E9" s="53"/>
      <c r="F9" s="53"/>
      <c r="G9" s="53"/>
      <c r="H9" s="26" t="n">
        <v>0.57</v>
      </c>
    </row>
    <row r="10" customFormat="false" ht="15" hidden="false" customHeight="true" outlineLevel="0" collapsed="false">
      <c r="A10" s="51" t="s">
        <v>77</v>
      </c>
      <c r="B10" s="56"/>
      <c r="C10" s="52" t="n">
        <v>2239</v>
      </c>
      <c r="D10" s="56"/>
      <c r="E10" s="56"/>
      <c r="F10" s="56"/>
      <c r="G10" s="56"/>
      <c r="H10" s="56"/>
    </row>
    <row r="11" customFormat="false" ht="15" hidden="false" customHeight="true" outlineLevel="0" collapsed="false">
      <c r="A11" s="13" t="s">
        <v>78</v>
      </c>
      <c r="B11" s="57"/>
      <c r="C11" s="57"/>
      <c r="D11" s="57"/>
      <c r="E11" s="57"/>
      <c r="F11" s="57"/>
      <c r="G11" s="57"/>
      <c r="H11" s="58" t="n">
        <v>990.3</v>
      </c>
    </row>
    <row r="12" customFormat="false" ht="15" hidden="false" customHeight="true" outlineLevel="0" collapsed="false">
      <c r="A12" s="51" t="s">
        <v>79</v>
      </c>
      <c r="B12" s="54"/>
      <c r="C12" s="54"/>
      <c r="D12" s="54"/>
      <c r="E12" s="54"/>
      <c r="F12" s="54"/>
      <c r="G12" s="54"/>
      <c r="H12" s="55" t="n">
        <v>0.61</v>
      </c>
    </row>
    <row r="13" customFormat="false" ht="15" hidden="false" customHeight="true" outlineLevel="0" collapsed="false">
      <c r="A13" s="13" t="s">
        <v>80</v>
      </c>
      <c r="B13" s="57"/>
      <c r="C13" s="57"/>
      <c r="D13" s="57"/>
      <c r="E13" s="57"/>
      <c r="F13" s="57"/>
      <c r="G13" s="57"/>
      <c r="H13" s="58" t="n">
        <v>201.6</v>
      </c>
    </row>
    <row r="14" customFormat="false" ht="15" hidden="false" customHeight="true" outlineLevel="0" collapsed="false">
      <c r="A14" s="51" t="s">
        <v>81</v>
      </c>
      <c r="B14" s="54"/>
      <c r="C14" s="54"/>
      <c r="D14" s="54"/>
      <c r="E14" s="54"/>
      <c r="F14" s="54"/>
      <c r="G14" s="54"/>
      <c r="H14" s="55" t="n">
        <v>0.123</v>
      </c>
    </row>
    <row r="16" customFormat="false" ht="15" hidden="false" customHeight="true" outlineLevel="0" collapsed="false">
      <c r="A16" s="49" t="s">
        <v>82</v>
      </c>
      <c r="B16" s="50"/>
      <c r="C16" s="50"/>
      <c r="D16" s="50"/>
      <c r="E16" s="50"/>
      <c r="F16" s="50"/>
      <c r="G16" s="50"/>
      <c r="H16" s="50"/>
      <c r="I16" s="50"/>
      <c r="J16" s="50"/>
    </row>
    <row r="17" customFormat="false" ht="15" hidden="false" customHeight="true" outlineLevel="0" collapsed="false">
      <c r="A17" s="42" t="s">
        <v>3</v>
      </c>
      <c r="B17" s="42" t="s">
        <v>83</v>
      </c>
      <c r="C17" s="42" t="s">
        <v>84</v>
      </c>
      <c r="D17" s="42"/>
      <c r="E17" s="42"/>
      <c r="F17" s="42"/>
      <c r="G17" s="42"/>
      <c r="H17" s="42"/>
      <c r="I17" s="42"/>
      <c r="J17" s="42"/>
    </row>
    <row r="18" customFormat="false" ht="15" hidden="false" customHeight="true" outlineLevel="0" collapsed="false">
      <c r="A18" s="51" t="s">
        <v>85</v>
      </c>
      <c r="B18" s="52" t="n">
        <v>1282</v>
      </c>
      <c r="C18" s="55" t="n">
        <v>1.04</v>
      </c>
      <c r="D18" s="59"/>
      <c r="E18" s="59"/>
      <c r="F18" s="59"/>
      <c r="G18" s="59"/>
      <c r="H18" s="59"/>
      <c r="I18" s="59"/>
      <c r="J18" s="59"/>
    </row>
    <row r="19" customFormat="false" ht="15" hidden="false" customHeight="true" outlineLevel="0" collapsed="false">
      <c r="A19" s="13" t="s">
        <v>86</v>
      </c>
      <c r="B19" s="58" t="n">
        <v>595</v>
      </c>
      <c r="C19" s="26" t="n">
        <v>1.33</v>
      </c>
    </row>
    <row r="20" customFormat="false" ht="15" hidden="false" customHeight="true" outlineLevel="0" collapsed="false">
      <c r="A20" s="51" t="s">
        <v>87</v>
      </c>
      <c r="B20" s="52" t="n">
        <v>687</v>
      </c>
      <c r="C20" s="55" t="n">
        <v>0.84</v>
      </c>
      <c r="D20" s="59"/>
      <c r="E20" s="59"/>
      <c r="F20" s="59"/>
      <c r="G20" s="59"/>
      <c r="H20" s="59"/>
      <c r="I20" s="59"/>
      <c r="J20" s="59"/>
    </row>
    <row r="21" customFormat="false" ht="15" hidden="false" customHeight="true" outlineLevel="0" collapsed="false">
      <c r="A21" s="13" t="s">
        <v>88</v>
      </c>
      <c r="B21" s="58" t="n">
        <v>351</v>
      </c>
    </row>
    <row r="22" customFormat="false" ht="15" hidden="false" customHeight="true" outlineLevel="0" collapsed="false">
      <c r="A22" s="51" t="s">
        <v>89</v>
      </c>
      <c r="B22" s="60" t="n">
        <v>1007</v>
      </c>
      <c r="C22" s="59"/>
      <c r="D22" s="59"/>
      <c r="E22" s="59"/>
      <c r="F22" s="59"/>
      <c r="G22" s="59"/>
      <c r="H22" s="59"/>
      <c r="I22" s="59"/>
      <c r="J22" s="59"/>
    </row>
    <row r="25" customFormat="false" ht="23.25" hidden="false" customHeight="true" outlineLevel="0" collapsed="false">
      <c r="A25" s="41" t="s">
        <v>90</v>
      </c>
      <c r="B25" s="42"/>
      <c r="C25" s="42"/>
      <c r="D25" s="42"/>
      <c r="E25" s="42"/>
      <c r="F25" s="42"/>
      <c r="G25" s="42"/>
      <c r="H25" s="42"/>
      <c r="I25" s="42"/>
      <c r="J25" s="42"/>
    </row>
    <row r="26" customFormat="false" ht="23.25" hidden="false" customHeight="true" outlineLevel="0" collapsed="false">
      <c r="A26" s="13" t="s">
        <v>91</v>
      </c>
      <c r="B26" s="58" t="n">
        <v>4477</v>
      </c>
    </row>
    <row r="27" customFormat="false" ht="15" hidden="false" customHeight="true" outlineLevel="0" collapsed="false">
      <c r="A27" s="42" t="s">
        <v>92</v>
      </c>
      <c r="B27" s="42" t="s">
        <v>93</v>
      </c>
      <c r="C27" s="42" t="s">
        <v>94</v>
      </c>
      <c r="D27" s="42" t="s">
        <v>95</v>
      </c>
      <c r="E27" s="42" t="s">
        <v>96</v>
      </c>
      <c r="F27" s="42" t="s">
        <v>97</v>
      </c>
      <c r="G27" s="42"/>
    </row>
    <row r="28" customFormat="false" ht="15" hidden="false" customHeight="true" outlineLevel="0" collapsed="false">
      <c r="A28" s="61" t="s">
        <v>98</v>
      </c>
      <c r="B28" s="62"/>
      <c r="C28" s="62"/>
      <c r="D28" s="62"/>
      <c r="E28" s="62"/>
      <c r="F28" s="62"/>
      <c r="G28" s="62"/>
      <c r="H28" s="62"/>
      <c r="I28" s="62"/>
      <c r="J28" s="62"/>
    </row>
    <row r="29" customFormat="false" ht="15" hidden="false" customHeight="true" outlineLevel="0" collapsed="false">
      <c r="A29" s="13" t="s">
        <v>99</v>
      </c>
      <c r="B29" s="25" t="n">
        <v>0.71</v>
      </c>
      <c r="C29" s="25" t="n">
        <v>0.6</v>
      </c>
      <c r="D29" s="25" t="n">
        <v>0.5</v>
      </c>
      <c r="E29" s="25" t="n">
        <v>0.4</v>
      </c>
      <c r="F29" s="25" t="n">
        <v>0.3</v>
      </c>
    </row>
    <row r="30" customFormat="false" ht="15" hidden="false" customHeight="true" outlineLevel="0" collapsed="false">
      <c r="A30" s="13" t="s">
        <v>100</v>
      </c>
      <c r="B30" s="63" t="n">
        <f aca="false">$B$26*(1+B29)</f>
        <v>7655.67</v>
      </c>
      <c r="C30" s="63" t="n">
        <f aca="false">B30*(1+C29)</f>
        <v>12249.072</v>
      </c>
      <c r="D30" s="63" t="n">
        <f aca="false">C30*(1+D29)</f>
        <v>18373.608</v>
      </c>
      <c r="E30" s="63" t="n">
        <f aca="false">D30*(1+E29)</f>
        <v>25723.0512</v>
      </c>
      <c r="F30" s="63" t="n">
        <f aca="false">E30*(1+F29)</f>
        <v>33439.96656</v>
      </c>
    </row>
    <row r="31" customFormat="false" ht="15" hidden="false" customHeight="true" outlineLevel="0" collapsed="false">
      <c r="A31" s="13" t="s">
        <v>101</v>
      </c>
      <c r="B31" s="25" t="n">
        <v>0.58</v>
      </c>
      <c r="C31" s="25" t="n">
        <v>0.6</v>
      </c>
      <c r="D31" s="25" t="n">
        <v>0.62</v>
      </c>
      <c r="E31" s="25" t="n">
        <v>0.62</v>
      </c>
      <c r="F31" s="25" t="n">
        <v>0.62</v>
      </c>
    </row>
    <row r="32" customFormat="false" ht="15" hidden="false" customHeight="true" outlineLevel="0" collapsed="false">
      <c r="A32" s="13" t="s">
        <v>102</v>
      </c>
      <c r="B32" s="63" t="n">
        <f aca="false">B30*B31</f>
        <v>4440.2886</v>
      </c>
      <c r="C32" s="63" t="n">
        <f aca="false">C30*C31</f>
        <v>7349.4432</v>
      </c>
      <c r="D32" s="63" t="n">
        <f aca="false">D30*D31</f>
        <v>11391.63696</v>
      </c>
      <c r="E32" s="63" t="n">
        <f aca="false">E30*E31</f>
        <v>15948.291744</v>
      </c>
      <c r="F32" s="63" t="n">
        <f aca="false">F30*F31</f>
        <v>20732.7792672</v>
      </c>
    </row>
    <row r="34" customFormat="false" ht="15" hidden="false" customHeight="true" outlineLevel="0" collapsed="false">
      <c r="A34" s="49" t="s">
        <v>103</v>
      </c>
      <c r="B34" s="50"/>
      <c r="C34" s="50"/>
      <c r="D34" s="50"/>
      <c r="E34" s="50"/>
      <c r="F34" s="50"/>
      <c r="G34" s="50"/>
      <c r="H34" s="50"/>
      <c r="I34" s="50"/>
      <c r="J34" s="50"/>
    </row>
    <row r="35" customFormat="false" ht="15" hidden="false" customHeight="true" outlineLevel="0" collapsed="false">
      <c r="A35" s="13" t="s">
        <v>104</v>
      </c>
      <c r="B35" s="24" t="n">
        <v>0.71</v>
      </c>
      <c r="C35" s="24" t="n">
        <v>0.5</v>
      </c>
      <c r="D35" s="24" t="n">
        <v>0.35</v>
      </c>
      <c r="E35" s="24" t="n">
        <v>0.25</v>
      </c>
      <c r="F35" s="24" t="n">
        <v>0.18</v>
      </c>
    </row>
    <row r="36" customFormat="false" ht="15" hidden="false" customHeight="true" outlineLevel="0" collapsed="false">
      <c r="A36" s="13" t="s">
        <v>105</v>
      </c>
      <c r="B36" s="64" t="n">
        <f aca="false">$B$26*(1+B35)</f>
        <v>7655.67</v>
      </c>
      <c r="C36" s="64" t="n">
        <f aca="false">B36*(1+C35)</f>
        <v>11483.505</v>
      </c>
      <c r="D36" s="64" t="n">
        <f aca="false">C36*(1+D35)</f>
        <v>15502.73175</v>
      </c>
      <c r="E36" s="64" t="n">
        <f aca="false">D36*(1+E35)</f>
        <v>19378.4146875</v>
      </c>
      <c r="F36" s="64" t="n">
        <f aca="false">E36*(1+F35)</f>
        <v>22866.52933125</v>
      </c>
    </row>
    <row r="37" customFormat="false" ht="15" hidden="false" customHeight="true" outlineLevel="0" collapsed="false">
      <c r="A37" s="13" t="s">
        <v>106</v>
      </c>
      <c r="B37" s="24" t="n">
        <v>0.56</v>
      </c>
      <c r="C37" s="24" t="n">
        <v>0.56</v>
      </c>
      <c r="D37" s="24" t="n">
        <v>0.55</v>
      </c>
      <c r="E37" s="24" t="n">
        <v>0.54</v>
      </c>
      <c r="F37" s="24" t="n">
        <v>0.52</v>
      </c>
    </row>
    <row r="38" customFormat="false" ht="15" hidden="false" customHeight="true" outlineLevel="0" collapsed="false">
      <c r="A38" s="13" t="s">
        <v>107</v>
      </c>
      <c r="B38" s="64" t="n">
        <f aca="false">B36*B37</f>
        <v>4287.1752</v>
      </c>
      <c r="C38" s="64" t="n">
        <f aca="false">C36*C37</f>
        <v>6430.7628</v>
      </c>
      <c r="D38" s="64" t="n">
        <f aca="false">D36*D37</f>
        <v>8526.5024625</v>
      </c>
      <c r="E38" s="64" t="n">
        <f aca="false">E36*E37</f>
        <v>10464.34393125</v>
      </c>
      <c r="F38" s="64" t="n">
        <f aca="false">F36*F37</f>
        <v>11890.59525225</v>
      </c>
    </row>
    <row r="40" customFormat="false" ht="15" hidden="false" customHeight="true" outlineLevel="0" collapsed="false">
      <c r="A40" s="65" t="s">
        <v>108</v>
      </c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true" outlineLevel="0" collapsed="false">
      <c r="A41" s="13" t="s">
        <v>109</v>
      </c>
      <c r="B41" s="55" t="n">
        <v>0.71</v>
      </c>
      <c r="C41" s="55" t="n">
        <v>0.35</v>
      </c>
      <c r="D41" s="55" t="n">
        <v>0.2</v>
      </c>
      <c r="E41" s="55" t="n">
        <v>0.15</v>
      </c>
      <c r="F41" s="55" t="n">
        <v>0.1</v>
      </c>
    </row>
    <row r="42" customFormat="false" ht="15" hidden="false" customHeight="true" outlineLevel="0" collapsed="false">
      <c r="A42" s="13" t="s">
        <v>110</v>
      </c>
      <c r="B42" s="66" t="n">
        <f aca="false">$B$26*(1+B41)</f>
        <v>7655.67</v>
      </c>
      <c r="C42" s="66" t="n">
        <f aca="false">B42*(1+C41)</f>
        <v>10335.1545</v>
      </c>
      <c r="D42" s="66" t="n">
        <f aca="false">C42*(1+D41)</f>
        <v>12402.1854</v>
      </c>
      <c r="E42" s="66" t="n">
        <f aca="false">D42*(1+E41)</f>
        <v>14262.51321</v>
      </c>
      <c r="F42" s="66" t="n">
        <f aca="false">E42*(1+F41)</f>
        <v>15688.764531</v>
      </c>
    </row>
    <row r="43" customFormat="false" ht="15" hidden="false" customHeight="true" outlineLevel="0" collapsed="false">
      <c r="A43" s="13" t="s">
        <v>111</v>
      </c>
      <c r="B43" s="55" t="n">
        <v>0.52</v>
      </c>
      <c r="C43" s="55" t="n">
        <v>0.5</v>
      </c>
      <c r="D43" s="55" t="n">
        <v>0.47</v>
      </c>
      <c r="E43" s="55" t="n">
        <v>0.44</v>
      </c>
      <c r="F43" s="55" t="n">
        <v>0.4</v>
      </c>
    </row>
    <row r="44" customFormat="false" ht="15" hidden="false" customHeight="true" outlineLevel="0" collapsed="false">
      <c r="A44" s="13" t="s">
        <v>112</v>
      </c>
      <c r="B44" s="66" t="n">
        <f aca="false">B42*B43</f>
        <v>3980.9484</v>
      </c>
      <c r="C44" s="66" t="n">
        <f aca="false">C42*C43</f>
        <v>5167.57725</v>
      </c>
      <c r="D44" s="66" t="n">
        <f aca="false">D42*D43</f>
        <v>5829.027138</v>
      </c>
      <c r="E44" s="66" t="n">
        <f aca="false">E42*E43</f>
        <v>6275.5058124</v>
      </c>
      <c r="F44" s="66" t="n">
        <f aca="false">F42*F43</f>
        <v>6275.5058124</v>
      </c>
    </row>
    <row r="47" customFormat="false" ht="15" hidden="false" customHeight="true" outlineLevel="0" collapsed="false">
      <c r="A47" s="41" t="s">
        <v>113</v>
      </c>
      <c r="B47" s="42"/>
      <c r="C47" s="42"/>
      <c r="D47" s="42"/>
      <c r="E47" s="42"/>
      <c r="F47" s="42"/>
      <c r="G47" s="42"/>
      <c r="H47" s="42"/>
      <c r="I47" s="42"/>
      <c r="J47" s="42"/>
    </row>
    <row r="48" customFormat="false" ht="15" hidden="false" customHeight="true" outlineLevel="0" collapsed="false">
      <c r="A48" s="13" t="s">
        <v>114</v>
      </c>
      <c r="B48" s="58" t="n">
        <v>8027</v>
      </c>
    </row>
    <row r="49" customFormat="false" ht="15" hidden="false" customHeight="true" outlineLevel="0" collapsed="false">
      <c r="A49" s="13" t="s">
        <v>115</v>
      </c>
      <c r="B49" s="58" t="n">
        <v>0</v>
      </c>
    </row>
    <row r="50" customFormat="false" ht="15" hidden="false" customHeight="true" outlineLevel="0" collapsed="false">
      <c r="A50" s="13" t="s">
        <v>116</v>
      </c>
      <c r="B50" s="67" t="n">
        <v>2571</v>
      </c>
    </row>
    <row r="51" customFormat="false" ht="15" hidden="false" customHeight="true" outlineLevel="0" collapsed="false">
      <c r="A51" s="13" t="s">
        <v>117</v>
      </c>
      <c r="B51" s="38" t="n">
        <v>141.51</v>
      </c>
    </row>
    <row r="53" customFormat="false" ht="15" hidden="false" customHeight="true" outlineLevel="0" collapsed="false">
      <c r="A53" s="61" t="s">
        <v>118</v>
      </c>
      <c r="B53" s="62"/>
      <c r="C53" s="62"/>
      <c r="D53" s="62"/>
      <c r="E53" s="62"/>
      <c r="F53" s="62"/>
      <c r="G53" s="62"/>
      <c r="H53" s="62"/>
      <c r="I53" s="62"/>
      <c r="J53" s="62"/>
    </row>
    <row r="54" customFormat="false" ht="15" hidden="false" customHeight="true" outlineLevel="0" collapsed="false">
      <c r="A54" s="13" t="s">
        <v>119</v>
      </c>
      <c r="B54" s="26" t="n">
        <v>0.12</v>
      </c>
    </row>
    <row r="55" customFormat="false" ht="15" hidden="false" customHeight="true" outlineLevel="0" collapsed="false">
      <c r="A55" s="13" t="s">
        <v>120</v>
      </c>
      <c r="B55" s="26" t="n">
        <v>0.04</v>
      </c>
    </row>
    <row r="56" customFormat="false" ht="15" hidden="false" customHeight="true" outlineLevel="0" collapsed="false">
      <c r="A56" s="13" t="s">
        <v>121</v>
      </c>
      <c r="B56" s="26" t="n">
        <v>0.55</v>
      </c>
    </row>
    <row r="57" customFormat="false" ht="15" hidden="false" customHeight="true" outlineLevel="0" collapsed="false">
      <c r="A57" s="13" t="s">
        <v>122</v>
      </c>
      <c r="B57" s="63" t="n">
        <f aca="false">B32/((1+$B$54)^1)</f>
        <v>3964.54339285714</v>
      </c>
      <c r="C57" s="63" t="n">
        <f aca="false">C32/((1+$B$54)^2)</f>
        <v>5858.93112244898</v>
      </c>
      <c r="D57" s="63" t="n">
        <f aca="false">D32/((1+$B$54)^3)</f>
        <v>8108.34217838921</v>
      </c>
      <c r="E57" s="63" t="n">
        <f aca="false">E32/((1+$B$54)^4)</f>
        <v>10135.4277229865</v>
      </c>
      <c r="F57" s="63" t="n">
        <f aca="false">F32/((1+$B$54)^5)</f>
        <v>11764.3357498951</v>
      </c>
    </row>
    <row r="58" customFormat="false" ht="15" hidden="false" customHeight="true" outlineLevel="0" collapsed="false">
      <c r="A58" s="13" t="s">
        <v>123</v>
      </c>
      <c r="B58" s="68" t="n">
        <f aca="false">SUM(B57,C57,D57,E57,F57)</f>
        <v>39831.5801665769</v>
      </c>
    </row>
    <row r="59" customFormat="false" ht="15" hidden="false" customHeight="true" outlineLevel="0" collapsed="false">
      <c r="A59" s="13" t="s">
        <v>124</v>
      </c>
      <c r="B59" s="68" t="n">
        <f aca="false">F30*$B$56</f>
        <v>18391.981608</v>
      </c>
    </row>
    <row r="60" customFormat="false" ht="15" hidden="false" customHeight="true" outlineLevel="0" collapsed="false">
      <c r="A60" s="13" t="s">
        <v>125</v>
      </c>
      <c r="B60" s="68" t="n">
        <f aca="false">B59*(1+$B$55)/($B$54-$B$55)</f>
        <v>239095.760904</v>
      </c>
    </row>
    <row r="61" customFormat="false" ht="15" hidden="false" customHeight="true" outlineLevel="0" collapsed="false">
      <c r="A61" s="13" t="s">
        <v>126</v>
      </c>
      <c r="B61" s="68" t="n">
        <f aca="false">B60/((1+$B$54)^5)</f>
        <v>135669.355825403</v>
      </c>
    </row>
    <row r="62" customFormat="false" ht="15" hidden="false" customHeight="true" outlineLevel="0" collapsed="false">
      <c r="A62" s="69" t="s">
        <v>127</v>
      </c>
      <c r="B62" s="70" t="n">
        <f aca="false">B58+B61</f>
        <v>175500.93599198</v>
      </c>
    </row>
    <row r="63" customFormat="false" ht="15" hidden="false" customHeight="true" outlineLevel="0" collapsed="false">
      <c r="A63" s="69" t="s">
        <v>128</v>
      </c>
      <c r="B63" s="70" t="n">
        <f aca="false">B62+$B$48-$B$49</f>
        <v>183527.93599198</v>
      </c>
    </row>
    <row r="64" customFormat="false" ht="15" hidden="false" customHeight="true" outlineLevel="0" collapsed="false">
      <c r="A64" s="69" t="s">
        <v>129</v>
      </c>
      <c r="B64" s="71" t="n">
        <f aca="false">B63/$B$50</f>
        <v>71.3838724200621</v>
      </c>
    </row>
    <row r="65" customFormat="false" ht="15" hidden="false" customHeight="true" outlineLevel="0" collapsed="false">
      <c r="A65" s="13" t="s">
        <v>130</v>
      </c>
      <c r="B65" s="72" t="n">
        <f aca="false">($B$51-B64)/B64</f>
        <v>0.982380546228665</v>
      </c>
    </row>
    <row r="67" customFormat="false" ht="15" hidden="false" customHeight="true" outlineLevel="0" collapsed="false">
      <c r="A67" s="49" t="s">
        <v>131</v>
      </c>
      <c r="B67" s="50"/>
      <c r="C67" s="50"/>
      <c r="D67" s="50"/>
      <c r="E67" s="50"/>
      <c r="F67" s="50"/>
      <c r="G67" s="50"/>
      <c r="H67" s="50"/>
      <c r="I67" s="50"/>
      <c r="J67" s="50"/>
    </row>
    <row r="68" customFormat="false" ht="15" hidden="false" customHeight="true" outlineLevel="0" collapsed="false">
      <c r="A68" s="13" t="s">
        <v>119</v>
      </c>
      <c r="B68" s="26" t="n">
        <v>0.13</v>
      </c>
    </row>
    <row r="69" customFormat="false" ht="15" hidden="false" customHeight="true" outlineLevel="0" collapsed="false">
      <c r="A69" s="13" t="s">
        <v>120</v>
      </c>
      <c r="B69" s="26" t="n">
        <v>0.035</v>
      </c>
    </row>
    <row r="70" customFormat="false" ht="15" hidden="false" customHeight="true" outlineLevel="0" collapsed="false">
      <c r="A70" s="13" t="s">
        <v>121</v>
      </c>
      <c r="B70" s="26" t="n">
        <v>0.5</v>
      </c>
    </row>
    <row r="71" customFormat="false" ht="15" hidden="false" customHeight="true" outlineLevel="0" collapsed="false">
      <c r="A71" s="13" t="s">
        <v>122</v>
      </c>
      <c r="B71" s="64" t="n">
        <f aca="false">B38/((1+$B$68)^1)</f>
        <v>3793.9603539823</v>
      </c>
      <c r="C71" s="64" t="n">
        <f aca="false">C38/((1+$B$68)^2)</f>
        <v>5036.23055838359</v>
      </c>
      <c r="D71" s="64" t="n">
        <f aca="false">D38/((1+$B$68)^3)</f>
        <v>5909.2939152968</v>
      </c>
      <c r="E71" s="64" t="n">
        <f aca="false">E38/((1+$B$68)^4)</f>
        <v>6417.97810591366</v>
      </c>
      <c r="F71" s="64" t="n">
        <f aca="false">F38/((1+$B$68)^5)</f>
        <v>6453.73871810656</v>
      </c>
    </row>
    <row r="72" customFormat="false" ht="15" hidden="false" customHeight="true" outlineLevel="0" collapsed="false">
      <c r="A72" s="13" t="s">
        <v>123</v>
      </c>
      <c r="B72" s="68" t="n">
        <f aca="false">SUM(B71,C71,D71,E71,F71)</f>
        <v>27611.2016516829</v>
      </c>
    </row>
    <row r="73" customFormat="false" ht="15" hidden="false" customHeight="true" outlineLevel="0" collapsed="false">
      <c r="A73" s="13" t="s">
        <v>124</v>
      </c>
      <c r="B73" s="68" t="n">
        <f aca="false">F36*$B$70</f>
        <v>11433.264665625</v>
      </c>
    </row>
    <row r="74" customFormat="false" ht="15" hidden="false" customHeight="true" outlineLevel="0" collapsed="false">
      <c r="A74" s="13" t="s">
        <v>125</v>
      </c>
      <c r="B74" s="68" t="n">
        <f aca="false">B73*(1+$B$69)/($B$68-$B$69)</f>
        <v>124562.409778125</v>
      </c>
    </row>
    <row r="75" customFormat="false" ht="15" hidden="false" customHeight="true" outlineLevel="0" collapsed="false">
      <c r="A75" s="13" t="s">
        <v>126</v>
      </c>
      <c r="B75" s="68" t="n">
        <f aca="false">B74/((1+$B$68)^5)</f>
        <v>67607.4855591122</v>
      </c>
    </row>
    <row r="76" customFormat="false" ht="15" hidden="false" customHeight="true" outlineLevel="0" collapsed="false">
      <c r="A76" s="69" t="s">
        <v>127</v>
      </c>
      <c r="B76" s="70" t="n">
        <f aca="false">B72+B75</f>
        <v>95218.6872107951</v>
      </c>
    </row>
    <row r="77" customFormat="false" ht="15" hidden="false" customHeight="true" outlineLevel="0" collapsed="false">
      <c r="A77" s="69" t="s">
        <v>128</v>
      </c>
      <c r="B77" s="70" t="n">
        <f aca="false">B76+$B$48-$B$49</f>
        <v>103245.687210795</v>
      </c>
    </row>
    <row r="78" customFormat="false" ht="15" hidden="false" customHeight="true" outlineLevel="0" collapsed="false">
      <c r="A78" s="69" t="s">
        <v>129</v>
      </c>
      <c r="B78" s="71" t="n">
        <f aca="false">B77/$B$50</f>
        <v>40.1577935475671</v>
      </c>
    </row>
    <row r="79" customFormat="false" ht="15" hidden="false" customHeight="true" outlineLevel="0" collapsed="false">
      <c r="A79" s="13" t="s">
        <v>130</v>
      </c>
      <c r="B79" s="72" t="n">
        <f aca="false">($B$51-B78)/B78</f>
        <v>2.52384898419234</v>
      </c>
    </row>
    <row r="81" customFormat="false" ht="15" hidden="false" customHeight="true" outlineLevel="0" collapsed="false">
      <c r="A81" s="65" t="s">
        <v>132</v>
      </c>
      <c r="B81" s="5"/>
      <c r="C81" s="5"/>
      <c r="D81" s="5"/>
      <c r="E81" s="5"/>
      <c r="F81" s="5"/>
      <c r="G81" s="5"/>
      <c r="H81" s="5"/>
      <c r="I81" s="5"/>
      <c r="J81" s="5"/>
    </row>
    <row r="82" customFormat="false" ht="15" hidden="false" customHeight="true" outlineLevel="0" collapsed="false">
      <c r="A82" s="13" t="s">
        <v>119</v>
      </c>
      <c r="B82" s="26" t="n">
        <v>0.15</v>
      </c>
    </row>
    <row r="83" customFormat="false" ht="15" hidden="false" customHeight="true" outlineLevel="0" collapsed="false">
      <c r="A83" s="13" t="s">
        <v>120</v>
      </c>
      <c r="B83" s="26" t="n">
        <v>0.03</v>
      </c>
    </row>
    <row r="84" customFormat="false" ht="15" hidden="false" customHeight="true" outlineLevel="0" collapsed="false">
      <c r="A84" s="13" t="s">
        <v>121</v>
      </c>
      <c r="B84" s="26" t="n">
        <v>0.4</v>
      </c>
    </row>
    <row r="85" customFormat="false" ht="15" hidden="false" customHeight="true" outlineLevel="0" collapsed="false">
      <c r="A85" s="13" t="s">
        <v>122</v>
      </c>
      <c r="B85" s="66" t="n">
        <f aca="false">B44/((1+$B$82)^1)</f>
        <v>3461.69426086957</v>
      </c>
      <c r="C85" s="66" t="n">
        <f aca="false">C44/((1+$B$82)^2)</f>
        <v>3907.43081285444</v>
      </c>
      <c r="D85" s="66" t="n">
        <f aca="false">D44/((1+$B$82)^3)</f>
        <v>3832.67996252158</v>
      </c>
      <c r="E85" s="66" t="n">
        <f aca="false">E44/((1+$B$82)^4)</f>
        <v>3588.04081597765</v>
      </c>
      <c r="F85" s="66" t="n">
        <f aca="false">F44/((1+$B$82)^5)</f>
        <v>3120.03549215448</v>
      </c>
    </row>
    <row r="86" customFormat="false" ht="15" hidden="false" customHeight="true" outlineLevel="0" collapsed="false">
      <c r="A86" s="13" t="s">
        <v>123</v>
      </c>
      <c r="B86" s="68" t="n">
        <f aca="false">SUM(B85,C85,D85,E85,F85)</f>
        <v>17909.8813443777</v>
      </c>
    </row>
    <row r="87" customFormat="false" ht="15" hidden="false" customHeight="true" outlineLevel="0" collapsed="false">
      <c r="A87" s="13" t="s">
        <v>124</v>
      </c>
      <c r="B87" s="68" t="n">
        <f aca="false">F42*$B$84</f>
        <v>6275.5058124</v>
      </c>
    </row>
    <row r="88" customFormat="false" ht="15" hidden="false" customHeight="true" outlineLevel="0" collapsed="false">
      <c r="A88" s="13" t="s">
        <v>125</v>
      </c>
      <c r="B88" s="68" t="n">
        <f aca="false">B87*(1+$B$83)/($B$82-$B$83)</f>
        <v>53864.7582231</v>
      </c>
    </row>
    <row r="89" customFormat="false" ht="15" hidden="false" customHeight="true" outlineLevel="0" collapsed="false">
      <c r="A89" s="13" t="s">
        <v>126</v>
      </c>
      <c r="B89" s="68" t="n">
        <f aca="false">B88/((1+$B$82)^5)</f>
        <v>26780.3046409926</v>
      </c>
    </row>
    <row r="90" customFormat="false" ht="15" hidden="false" customHeight="true" outlineLevel="0" collapsed="false">
      <c r="A90" s="69" t="s">
        <v>127</v>
      </c>
      <c r="B90" s="70" t="n">
        <f aca="false">B86+B89</f>
        <v>44690.1859853703</v>
      </c>
    </row>
    <row r="91" customFormat="false" ht="15" hidden="false" customHeight="true" outlineLevel="0" collapsed="false">
      <c r="A91" s="69" t="s">
        <v>128</v>
      </c>
      <c r="B91" s="70" t="n">
        <f aca="false">B90+$B$48-$B$49</f>
        <v>52717.1859853703</v>
      </c>
    </row>
    <row r="92" customFormat="false" ht="15" hidden="false" customHeight="true" outlineLevel="0" collapsed="false">
      <c r="A92" s="69" t="s">
        <v>129</v>
      </c>
      <c r="B92" s="71" t="n">
        <f aca="false">B91/$B$50</f>
        <v>20.5045453074175</v>
      </c>
    </row>
    <row r="93" customFormat="false" ht="15" hidden="false" customHeight="true" outlineLevel="0" collapsed="false">
      <c r="A93" s="13" t="s">
        <v>130</v>
      </c>
      <c r="B93" s="72" t="n">
        <f aca="false">($B$51-B92)/B92</f>
        <v>5.90139663564299</v>
      </c>
    </row>
    <row r="95" customFormat="false" ht="23.25" hidden="false" customHeight="true" outlineLevel="0" collapsed="false">
      <c r="A95" s="41" t="s">
        <v>133</v>
      </c>
      <c r="B95" s="42"/>
      <c r="C95" s="42"/>
      <c r="D95" s="42"/>
      <c r="E95" s="42"/>
      <c r="F95" s="42"/>
      <c r="G95" s="42"/>
      <c r="H95" s="42"/>
      <c r="I95" s="42"/>
      <c r="J95" s="42"/>
    </row>
    <row r="96" customFormat="false" ht="15" hidden="false" customHeight="true" outlineLevel="0" collapsed="false">
      <c r="A96" s="42" t="s">
        <v>134</v>
      </c>
      <c r="B96" s="42" t="s">
        <v>135</v>
      </c>
      <c r="C96" s="42" t="s">
        <v>136</v>
      </c>
      <c r="D96" s="42" t="s">
        <v>137</v>
      </c>
      <c r="E96" s="42"/>
    </row>
    <row r="97" customFormat="false" ht="15" hidden="false" customHeight="true" outlineLevel="0" collapsed="false">
      <c r="A97" s="73" t="s">
        <v>65</v>
      </c>
      <c r="B97" s="26" t="n">
        <v>0.56</v>
      </c>
      <c r="C97" s="26" t="n">
        <v>0.5</v>
      </c>
      <c r="D97" s="74" t="n">
        <f aca="false">(B97+C97)*100</f>
        <v>106</v>
      </c>
    </row>
    <row r="98" customFormat="false" ht="15" hidden="false" customHeight="true" outlineLevel="0" collapsed="false">
      <c r="A98" s="73" t="s">
        <v>70</v>
      </c>
      <c r="B98" s="26" t="n">
        <v>0.85</v>
      </c>
      <c r="C98" s="26" t="n">
        <v>0.6</v>
      </c>
      <c r="D98" s="74" t="n">
        <f aca="false">(B98+C98)*100</f>
        <v>145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10" min="2" style="1" width="14"/>
  </cols>
  <sheetData>
    <row r="1" customFormat="false" ht="27.75" hidden="false" customHeight="true" outlineLevel="0" collapsed="false">
      <c r="A1" s="75" t="s">
        <v>138</v>
      </c>
      <c r="B1" s="75"/>
      <c r="C1" s="75"/>
      <c r="D1" s="75"/>
      <c r="E1" s="75"/>
      <c r="F1" s="75"/>
      <c r="G1" s="75"/>
      <c r="H1" s="75"/>
      <c r="I1" s="75"/>
      <c r="J1" s="75"/>
    </row>
    <row r="2" customFormat="false" ht="23.25" hidden="false" customHeight="true" outlineLevel="0" collapsed="false">
      <c r="A2" s="61" t="s">
        <v>139</v>
      </c>
      <c r="B2" s="62"/>
      <c r="C2" s="62"/>
      <c r="D2" s="62"/>
      <c r="E2" s="62"/>
      <c r="F2" s="62"/>
      <c r="G2" s="62"/>
      <c r="H2" s="62"/>
      <c r="I2" s="62"/>
      <c r="J2" s="62"/>
    </row>
    <row r="3" customFormat="false" ht="15" hidden="false" customHeight="true" outlineLevel="0" collapsed="false">
      <c r="A3" s="42" t="s">
        <v>3</v>
      </c>
      <c r="B3" s="42" t="s">
        <v>65</v>
      </c>
      <c r="C3" s="42" t="s">
        <v>70</v>
      </c>
      <c r="D3" s="42"/>
      <c r="E3" s="42"/>
      <c r="F3" s="42"/>
      <c r="G3" s="42"/>
      <c r="H3" s="42"/>
      <c r="I3" s="42"/>
      <c r="J3" s="42"/>
    </row>
    <row r="4" customFormat="false" ht="15" hidden="false" customHeight="true" outlineLevel="0" collapsed="false">
      <c r="A4" s="51" t="s">
        <v>140</v>
      </c>
      <c r="B4" s="52" t="n">
        <v>12840</v>
      </c>
      <c r="C4" s="52" t="n">
        <v>3671</v>
      </c>
    </row>
    <row r="5" customFormat="false" ht="15" hidden="false" customHeight="true" outlineLevel="0" collapsed="false">
      <c r="A5" s="13" t="s">
        <v>141</v>
      </c>
      <c r="B5" s="58" t="n">
        <v>13285</v>
      </c>
      <c r="C5" s="58" t="n">
        <v>3770</v>
      </c>
    </row>
    <row r="6" customFormat="false" ht="15" hidden="false" customHeight="true" outlineLevel="0" collapsed="false">
      <c r="A6" s="51" t="s">
        <v>142</v>
      </c>
      <c r="B6" s="55" t="n">
        <v>0.21</v>
      </c>
      <c r="C6" s="55" t="n">
        <v>0.22</v>
      </c>
    </row>
    <row r="7" customFormat="false" ht="15" hidden="false" customHeight="true" outlineLevel="0" collapsed="false">
      <c r="A7" s="13" t="s">
        <v>143</v>
      </c>
      <c r="B7" s="53"/>
      <c r="C7" s="26" t="n">
        <v>0.75</v>
      </c>
    </row>
    <row r="8" customFormat="false" ht="15" hidden="false" customHeight="true" outlineLevel="0" collapsed="false">
      <c r="A8" s="51" t="s">
        <v>144</v>
      </c>
      <c r="B8" s="54"/>
      <c r="C8" s="55" t="n">
        <v>0.795</v>
      </c>
    </row>
    <row r="9" customFormat="false" ht="15" hidden="false" customHeight="true" outlineLevel="0" collapsed="false">
      <c r="A9" s="13" t="s">
        <v>145</v>
      </c>
      <c r="B9" s="53"/>
      <c r="C9" s="26" t="n">
        <v>0.775</v>
      </c>
    </row>
    <row r="10" customFormat="false" ht="15" hidden="false" customHeight="true" outlineLevel="0" collapsed="false">
      <c r="A10" s="51" t="s">
        <v>146</v>
      </c>
      <c r="B10" s="54"/>
      <c r="C10" s="55" t="n">
        <v>0.815</v>
      </c>
    </row>
    <row r="11" customFormat="false" ht="15" hidden="false" customHeight="true" outlineLevel="0" collapsed="false">
      <c r="A11" s="13" t="s">
        <v>147</v>
      </c>
      <c r="B11" s="53"/>
      <c r="C11" s="26" t="n">
        <v>0.32</v>
      </c>
    </row>
    <row r="12" customFormat="false" ht="15" hidden="false" customHeight="true" outlineLevel="0" collapsed="false">
      <c r="A12" s="51" t="s">
        <v>148</v>
      </c>
      <c r="B12" s="55" t="n">
        <v>0.4</v>
      </c>
      <c r="C12" s="55" t="n">
        <v>0.44</v>
      </c>
    </row>
    <row r="13" customFormat="false" ht="15" hidden="false" customHeight="true" outlineLevel="0" collapsed="false">
      <c r="A13" s="13" t="s">
        <v>149</v>
      </c>
      <c r="B13" s="57"/>
      <c r="C13" s="58" t="n">
        <v>12640</v>
      </c>
    </row>
    <row r="14" customFormat="false" ht="15" hidden="false" customHeight="true" outlineLevel="0" collapsed="false">
      <c r="A14" s="51" t="s">
        <v>150</v>
      </c>
      <c r="B14" s="54"/>
      <c r="C14" s="55" t="n">
        <v>0.225</v>
      </c>
    </row>
    <row r="15" customFormat="false" ht="15" hidden="false" customHeight="true" outlineLevel="0" collapsed="false">
      <c r="A15" s="13" t="s">
        <v>151</v>
      </c>
      <c r="B15" s="57"/>
      <c r="C15" s="58" t="n">
        <v>27700</v>
      </c>
    </row>
    <row r="16" customFormat="false" ht="15" hidden="false" customHeight="true" outlineLevel="0" collapsed="false">
      <c r="A16" s="51" t="s">
        <v>152</v>
      </c>
      <c r="B16" s="54"/>
      <c r="C16" s="55" t="n">
        <v>0.25</v>
      </c>
    </row>
    <row r="17" customFormat="false" ht="15" hidden="false" customHeight="true" outlineLevel="0" collapsed="false">
      <c r="A17" s="13" t="s">
        <v>80</v>
      </c>
      <c r="B17" s="57"/>
      <c r="C17" s="58" t="n">
        <v>547</v>
      </c>
    </row>
    <row r="18" customFormat="false" ht="15" hidden="false" customHeight="true" outlineLevel="0" collapsed="false">
      <c r="A18" s="51" t="s">
        <v>81</v>
      </c>
      <c r="B18" s="54"/>
      <c r="C18" s="55" t="n">
        <v>0.145</v>
      </c>
    </row>
    <row r="20" customFormat="false" ht="23.25" hidden="false" customHeight="true" outlineLevel="0" collapsed="false">
      <c r="A20" s="61" t="s">
        <v>153</v>
      </c>
      <c r="B20" s="62"/>
      <c r="C20" s="62"/>
      <c r="D20" s="62"/>
      <c r="E20" s="62"/>
      <c r="F20" s="62"/>
      <c r="G20" s="62"/>
      <c r="H20" s="62"/>
      <c r="I20" s="62"/>
      <c r="J20" s="62"/>
    </row>
    <row r="21" customFormat="false" ht="15" hidden="false" customHeight="true" outlineLevel="0" collapsed="false">
      <c r="A21" s="42" t="s">
        <v>3</v>
      </c>
      <c r="B21" s="42" t="s">
        <v>4</v>
      </c>
      <c r="C21" s="42" t="s">
        <v>154</v>
      </c>
      <c r="D21" s="42"/>
      <c r="E21" s="42"/>
      <c r="F21" s="42"/>
      <c r="G21" s="42"/>
      <c r="H21" s="42"/>
      <c r="I21" s="42"/>
      <c r="J21" s="42"/>
    </row>
    <row r="22" customFormat="false" ht="15" hidden="false" customHeight="true" outlineLevel="0" collapsed="false">
      <c r="A22" s="51" t="s">
        <v>155</v>
      </c>
      <c r="B22" s="60" t="n">
        <v>630</v>
      </c>
      <c r="C22" s="76" t="s">
        <v>156</v>
      </c>
      <c r="D22" s="59"/>
      <c r="E22" s="59"/>
      <c r="F22" s="59"/>
      <c r="G22" s="59"/>
      <c r="H22" s="59"/>
      <c r="I22" s="59"/>
      <c r="J22" s="59"/>
    </row>
    <row r="23" customFormat="false" ht="15" hidden="false" customHeight="true" outlineLevel="0" collapsed="false">
      <c r="A23" s="13" t="s">
        <v>157</v>
      </c>
      <c r="B23" s="67" t="n">
        <v>16</v>
      </c>
      <c r="C23" s="73" t="s">
        <v>158</v>
      </c>
    </row>
    <row r="24" customFormat="false" ht="15" hidden="false" customHeight="true" outlineLevel="0" collapsed="false">
      <c r="A24" s="51" t="s">
        <v>159</v>
      </c>
      <c r="B24" s="59"/>
      <c r="C24" s="76" t="s">
        <v>160</v>
      </c>
      <c r="D24" s="59"/>
      <c r="E24" s="59"/>
      <c r="F24" s="59"/>
      <c r="G24" s="59"/>
      <c r="H24" s="59"/>
      <c r="I24" s="59"/>
      <c r="J24" s="59"/>
    </row>
    <row r="27" customFormat="false" ht="23.25" hidden="false" customHeight="true" outlineLevel="0" collapsed="false">
      <c r="A27" s="41" t="s">
        <v>90</v>
      </c>
      <c r="B27" s="42"/>
      <c r="C27" s="42"/>
      <c r="D27" s="42"/>
      <c r="E27" s="42"/>
      <c r="F27" s="42"/>
      <c r="G27" s="42"/>
      <c r="H27" s="42"/>
      <c r="I27" s="42"/>
      <c r="J27" s="42"/>
    </row>
    <row r="28" customFormat="false" ht="15" hidden="false" customHeight="true" outlineLevel="0" collapsed="false">
      <c r="A28" s="13" t="s">
        <v>161</v>
      </c>
      <c r="B28" s="58" t="n">
        <v>13285</v>
      </c>
    </row>
    <row r="29" customFormat="false" ht="23.25" hidden="false" customHeight="true" outlineLevel="0" collapsed="false">
      <c r="A29" s="13" t="s">
        <v>162</v>
      </c>
      <c r="B29" s="58" t="n">
        <v>16100</v>
      </c>
    </row>
    <row r="30" customFormat="false" ht="15" hidden="false" customHeight="true" outlineLevel="0" collapsed="false">
      <c r="A30" s="42" t="s">
        <v>92</v>
      </c>
      <c r="B30" s="42" t="s">
        <v>93</v>
      </c>
      <c r="C30" s="42" t="s">
        <v>94</v>
      </c>
      <c r="D30" s="42" t="s">
        <v>95</v>
      </c>
      <c r="E30" s="42" t="s">
        <v>96</v>
      </c>
      <c r="F30" s="42" t="s">
        <v>97</v>
      </c>
      <c r="G30" s="42"/>
    </row>
    <row r="31" customFormat="false" ht="15" hidden="false" customHeight="true" outlineLevel="0" collapsed="false">
      <c r="A31" s="61" t="s">
        <v>98</v>
      </c>
      <c r="B31" s="62"/>
      <c r="C31" s="62"/>
      <c r="D31" s="62"/>
      <c r="E31" s="62"/>
      <c r="F31" s="62"/>
      <c r="G31" s="62"/>
      <c r="H31" s="62"/>
      <c r="I31" s="62"/>
      <c r="J31" s="62"/>
    </row>
    <row r="32" customFormat="false" ht="15" hidden="false" customHeight="true" outlineLevel="0" collapsed="false">
      <c r="A32" s="13" t="s">
        <v>99</v>
      </c>
      <c r="B32" s="25" t="n">
        <v>0.22</v>
      </c>
      <c r="C32" s="25" t="n">
        <v>0.22</v>
      </c>
      <c r="D32" s="25" t="n">
        <v>0.2</v>
      </c>
      <c r="E32" s="25" t="n">
        <v>0.18</v>
      </c>
      <c r="F32" s="25" t="n">
        <v>0.16</v>
      </c>
    </row>
    <row r="33" customFormat="false" ht="15" hidden="false" customHeight="true" outlineLevel="0" collapsed="false">
      <c r="A33" s="13" t="s">
        <v>100</v>
      </c>
      <c r="B33" s="63" t="n">
        <f aca="false">$B$29</f>
        <v>16100</v>
      </c>
      <c r="C33" s="63" t="n">
        <f aca="false">B33*(1+C32)</f>
        <v>19642</v>
      </c>
      <c r="D33" s="63" t="n">
        <f aca="false">C33*(1+D32)</f>
        <v>23570.4</v>
      </c>
      <c r="E33" s="63" t="n">
        <f aca="false">D33*(1+E32)</f>
        <v>27813.072</v>
      </c>
      <c r="F33" s="63" t="n">
        <f aca="false">E33*(1+F32)</f>
        <v>32263.16352</v>
      </c>
    </row>
    <row r="34" customFormat="false" ht="15" hidden="false" customHeight="true" outlineLevel="0" collapsed="false">
      <c r="A34" s="13" t="s">
        <v>101</v>
      </c>
      <c r="B34" s="25" t="n">
        <v>0.37</v>
      </c>
      <c r="C34" s="25" t="n">
        <v>0.4</v>
      </c>
      <c r="D34" s="25" t="n">
        <v>0.42</v>
      </c>
      <c r="E34" s="25" t="n">
        <v>0.43</v>
      </c>
      <c r="F34" s="25" t="n">
        <v>0.44</v>
      </c>
    </row>
    <row r="35" customFormat="false" ht="15" hidden="false" customHeight="true" outlineLevel="0" collapsed="false">
      <c r="A35" s="13" t="s">
        <v>102</v>
      </c>
      <c r="B35" s="63" t="n">
        <f aca="false">B33*B34</f>
        <v>5957</v>
      </c>
      <c r="C35" s="63" t="n">
        <f aca="false">C33*C34</f>
        <v>7856.8</v>
      </c>
      <c r="D35" s="63" t="n">
        <f aca="false">D33*D34</f>
        <v>9899.568</v>
      </c>
      <c r="E35" s="63" t="n">
        <f aca="false">E33*E34</f>
        <v>11959.62096</v>
      </c>
      <c r="F35" s="63" t="n">
        <f aca="false">F33*F34</f>
        <v>14195.7919488</v>
      </c>
    </row>
    <row r="37" customFormat="false" ht="15" hidden="false" customHeight="true" outlineLevel="0" collapsed="false">
      <c r="A37" s="49" t="s">
        <v>103</v>
      </c>
      <c r="B37" s="50"/>
      <c r="C37" s="50"/>
      <c r="D37" s="50"/>
      <c r="E37" s="50"/>
      <c r="F37" s="50"/>
      <c r="G37" s="50"/>
      <c r="H37" s="50"/>
      <c r="I37" s="50"/>
      <c r="J37" s="50"/>
    </row>
    <row r="38" customFormat="false" ht="15" hidden="false" customHeight="true" outlineLevel="0" collapsed="false">
      <c r="A38" s="13" t="s">
        <v>104</v>
      </c>
      <c r="B38" s="24" t="n">
        <v>0.22</v>
      </c>
      <c r="C38" s="24" t="n">
        <v>0.2</v>
      </c>
      <c r="D38" s="24" t="n">
        <v>0.18</v>
      </c>
      <c r="E38" s="24" t="n">
        <v>0.15</v>
      </c>
      <c r="F38" s="24" t="n">
        <v>0.12</v>
      </c>
    </row>
    <row r="39" customFormat="false" ht="15" hidden="false" customHeight="true" outlineLevel="0" collapsed="false">
      <c r="A39" s="13" t="s">
        <v>105</v>
      </c>
      <c r="B39" s="64" t="n">
        <f aca="false">$B$29</f>
        <v>16100</v>
      </c>
      <c r="C39" s="64" t="n">
        <f aca="false">B39*(1+C38)</f>
        <v>19320</v>
      </c>
      <c r="D39" s="64" t="n">
        <f aca="false">C39*(1+D38)</f>
        <v>22797.6</v>
      </c>
      <c r="E39" s="64" t="n">
        <f aca="false">D39*(1+E38)</f>
        <v>26217.24</v>
      </c>
      <c r="F39" s="64" t="n">
        <f aca="false">E39*(1+F38)</f>
        <v>29363.3088</v>
      </c>
    </row>
    <row r="40" customFormat="false" ht="15" hidden="false" customHeight="true" outlineLevel="0" collapsed="false">
      <c r="A40" s="13" t="s">
        <v>106</v>
      </c>
      <c r="B40" s="24" t="n">
        <v>0.35</v>
      </c>
      <c r="C40" s="24" t="n">
        <v>0.37</v>
      </c>
      <c r="D40" s="24" t="n">
        <v>0.39</v>
      </c>
      <c r="E40" s="24" t="n">
        <v>0.4</v>
      </c>
      <c r="F40" s="24" t="n">
        <v>0.41</v>
      </c>
    </row>
    <row r="41" customFormat="false" ht="15" hidden="false" customHeight="true" outlineLevel="0" collapsed="false">
      <c r="A41" s="13" t="s">
        <v>107</v>
      </c>
      <c r="B41" s="64" t="n">
        <f aca="false">B39*B40</f>
        <v>5635</v>
      </c>
      <c r="C41" s="64" t="n">
        <f aca="false">C39*C40</f>
        <v>7148.4</v>
      </c>
      <c r="D41" s="64" t="n">
        <f aca="false">D39*D40</f>
        <v>8891.064</v>
      </c>
      <c r="E41" s="64" t="n">
        <f aca="false">E39*E40</f>
        <v>10486.896</v>
      </c>
      <c r="F41" s="64" t="n">
        <f aca="false">F39*F40</f>
        <v>12038.956608</v>
      </c>
    </row>
    <row r="43" customFormat="false" ht="15" hidden="false" customHeight="true" outlineLevel="0" collapsed="false">
      <c r="A43" s="65" t="s">
        <v>108</v>
      </c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true" outlineLevel="0" collapsed="false">
      <c r="A44" s="13" t="s">
        <v>109</v>
      </c>
      <c r="B44" s="55" t="n">
        <v>0.22</v>
      </c>
      <c r="C44" s="55" t="n">
        <v>0.15</v>
      </c>
      <c r="D44" s="55" t="n">
        <v>0.12</v>
      </c>
      <c r="E44" s="55" t="n">
        <v>0.1</v>
      </c>
      <c r="F44" s="55" t="n">
        <v>0.08</v>
      </c>
    </row>
    <row r="45" customFormat="false" ht="15" hidden="false" customHeight="true" outlineLevel="0" collapsed="false">
      <c r="A45" s="13" t="s">
        <v>110</v>
      </c>
      <c r="B45" s="66" t="n">
        <f aca="false">$B$29</f>
        <v>16100</v>
      </c>
      <c r="C45" s="66" t="n">
        <f aca="false">B45*(1+C44)</f>
        <v>18515</v>
      </c>
      <c r="D45" s="66" t="n">
        <f aca="false">C45*(1+D44)</f>
        <v>20736.8</v>
      </c>
      <c r="E45" s="66" t="n">
        <f aca="false">D45*(1+E44)</f>
        <v>22810.48</v>
      </c>
      <c r="F45" s="66" t="n">
        <f aca="false">E45*(1+F44)</f>
        <v>24635.3184</v>
      </c>
    </row>
    <row r="46" customFormat="false" ht="15" hidden="false" customHeight="true" outlineLevel="0" collapsed="false">
      <c r="A46" s="13" t="s">
        <v>111</v>
      </c>
      <c r="B46" s="55" t="n">
        <v>0.32</v>
      </c>
      <c r="C46" s="55" t="n">
        <v>0.33</v>
      </c>
      <c r="D46" s="55" t="n">
        <v>0.34</v>
      </c>
      <c r="E46" s="55" t="n">
        <v>0.35</v>
      </c>
      <c r="F46" s="55" t="n">
        <v>0.36</v>
      </c>
    </row>
    <row r="47" customFormat="false" ht="15" hidden="false" customHeight="true" outlineLevel="0" collapsed="false">
      <c r="A47" s="13" t="s">
        <v>112</v>
      </c>
      <c r="B47" s="66" t="n">
        <f aca="false">B45*B46</f>
        <v>5152</v>
      </c>
      <c r="C47" s="66" t="n">
        <f aca="false">C45*C46</f>
        <v>6109.95</v>
      </c>
      <c r="D47" s="66" t="n">
        <f aca="false">D45*D46</f>
        <v>7050.512</v>
      </c>
      <c r="E47" s="66" t="n">
        <f aca="false">E45*E46</f>
        <v>7983.668</v>
      </c>
      <c r="F47" s="66" t="n">
        <f aca="false">F45*F46</f>
        <v>8868.714624</v>
      </c>
    </row>
    <row r="50" customFormat="false" ht="15" hidden="false" customHeight="true" outlineLevel="0" collapsed="false">
      <c r="A50" s="41" t="s">
        <v>113</v>
      </c>
      <c r="B50" s="42"/>
      <c r="C50" s="42"/>
      <c r="D50" s="42"/>
      <c r="E50" s="42"/>
      <c r="F50" s="42"/>
      <c r="G50" s="42"/>
      <c r="H50" s="42"/>
      <c r="I50" s="42"/>
      <c r="J50" s="42"/>
    </row>
    <row r="51" customFormat="false" ht="23.25" hidden="false" customHeight="true" outlineLevel="0" collapsed="false">
      <c r="A51" s="13" t="s">
        <v>163</v>
      </c>
      <c r="B51" s="58" t="n">
        <v>3691</v>
      </c>
    </row>
    <row r="52" customFormat="false" ht="15" hidden="false" customHeight="true" outlineLevel="0" collapsed="false">
      <c r="A52" s="13" t="s">
        <v>116</v>
      </c>
      <c r="B52" s="67" t="n">
        <v>1040</v>
      </c>
    </row>
    <row r="53" customFormat="false" ht="15" hidden="false" customHeight="true" outlineLevel="0" collapsed="false">
      <c r="A53" s="13" t="s">
        <v>117</v>
      </c>
      <c r="B53" s="38" t="n">
        <v>119.29</v>
      </c>
    </row>
    <row r="55" customFormat="false" ht="15" hidden="false" customHeight="true" outlineLevel="0" collapsed="false">
      <c r="A55" s="61" t="s">
        <v>118</v>
      </c>
      <c r="B55" s="62"/>
      <c r="C55" s="62"/>
      <c r="D55" s="62"/>
      <c r="E55" s="62"/>
      <c r="F55" s="62"/>
      <c r="G55" s="62"/>
      <c r="H55" s="62"/>
      <c r="I55" s="62"/>
      <c r="J55" s="62"/>
    </row>
    <row r="56" customFormat="false" ht="15" hidden="false" customHeight="true" outlineLevel="0" collapsed="false">
      <c r="A56" s="13" t="s">
        <v>119</v>
      </c>
      <c r="B56" s="26" t="n">
        <v>0.1</v>
      </c>
    </row>
    <row r="57" customFormat="false" ht="15" hidden="false" customHeight="true" outlineLevel="0" collapsed="false">
      <c r="A57" s="13" t="s">
        <v>120</v>
      </c>
      <c r="B57" s="26" t="n">
        <v>0.04</v>
      </c>
    </row>
    <row r="58" customFormat="false" ht="15" hidden="false" customHeight="true" outlineLevel="0" collapsed="false">
      <c r="A58" s="13" t="s">
        <v>121</v>
      </c>
      <c r="B58" s="26" t="n">
        <v>0.42</v>
      </c>
    </row>
    <row r="59" customFormat="false" ht="15" hidden="false" customHeight="true" outlineLevel="0" collapsed="false">
      <c r="A59" s="13" t="s">
        <v>122</v>
      </c>
      <c r="B59" s="63" t="n">
        <f aca="false">B35/((1+$B$56)^1)</f>
        <v>5415.45454545455</v>
      </c>
      <c r="C59" s="63" t="n">
        <f aca="false">C35/((1+$B$56)^2)</f>
        <v>6493.22314049587</v>
      </c>
      <c r="D59" s="63" t="n">
        <f aca="false">D35/((1+$B$56)^3)</f>
        <v>7437.69196093163</v>
      </c>
      <c r="E59" s="63" t="n">
        <f aca="false">E35/((1+$B$56)^4)</f>
        <v>8168.58203674612</v>
      </c>
      <c r="F59" s="63" t="n">
        <f aca="false">F35/((1+$B$56)^5)</f>
        <v>8814.46991872139</v>
      </c>
    </row>
    <row r="60" customFormat="false" ht="15" hidden="false" customHeight="true" outlineLevel="0" collapsed="false">
      <c r="A60" s="13" t="s">
        <v>123</v>
      </c>
      <c r="B60" s="68" t="n">
        <f aca="false">SUM(B59,C59,D59,E59,F59)</f>
        <v>36329.4216023496</v>
      </c>
    </row>
    <row r="61" customFormat="false" ht="15" hidden="false" customHeight="true" outlineLevel="0" collapsed="false">
      <c r="A61" s="13" t="s">
        <v>124</v>
      </c>
      <c r="B61" s="68" t="n">
        <f aca="false">F33*$B$58</f>
        <v>13550.5286784</v>
      </c>
    </row>
    <row r="62" customFormat="false" ht="15" hidden="false" customHeight="true" outlineLevel="0" collapsed="false">
      <c r="A62" s="13" t="s">
        <v>125</v>
      </c>
      <c r="B62" s="68" t="n">
        <f aca="false">B61*(1+$B$57)/($B$56-$B$57)</f>
        <v>234875.8304256</v>
      </c>
    </row>
    <row r="63" customFormat="false" ht="15" hidden="false" customHeight="true" outlineLevel="0" collapsed="false">
      <c r="A63" s="13" t="s">
        <v>126</v>
      </c>
      <c r="B63" s="68" t="n">
        <f aca="false">B62/((1+$B$56)^5)</f>
        <v>145839.411382481</v>
      </c>
    </row>
    <row r="64" customFormat="false" ht="15" hidden="false" customHeight="true" outlineLevel="0" collapsed="false">
      <c r="A64" s="69" t="s">
        <v>127</v>
      </c>
      <c r="B64" s="70" t="n">
        <f aca="false">B60+B63</f>
        <v>182168.832984831</v>
      </c>
    </row>
    <row r="65" customFormat="false" ht="15" hidden="false" customHeight="true" outlineLevel="0" collapsed="false">
      <c r="A65" s="69" t="s">
        <v>164</v>
      </c>
      <c r="B65" s="70" t="n">
        <f aca="false">B64+$B$51</f>
        <v>185859.832984831</v>
      </c>
    </row>
    <row r="66" customFormat="false" ht="15" hidden="false" customHeight="true" outlineLevel="0" collapsed="false">
      <c r="A66" s="69" t="s">
        <v>129</v>
      </c>
      <c r="B66" s="71" t="n">
        <f aca="false">B65/$B$52</f>
        <v>178.71137787003</v>
      </c>
    </row>
    <row r="67" customFormat="false" ht="15" hidden="false" customHeight="true" outlineLevel="0" collapsed="false">
      <c r="A67" s="13" t="s">
        <v>130</v>
      </c>
      <c r="B67" s="72" t="n">
        <f aca="false">($B$53-B66)/B66</f>
        <v>-0.332499131159095</v>
      </c>
    </row>
    <row r="69" customFormat="false" ht="15" hidden="false" customHeight="true" outlineLevel="0" collapsed="false">
      <c r="A69" s="49" t="s">
        <v>131</v>
      </c>
      <c r="B69" s="50"/>
      <c r="C69" s="50"/>
      <c r="D69" s="50"/>
      <c r="E69" s="50"/>
      <c r="F69" s="50"/>
      <c r="G69" s="50"/>
      <c r="H69" s="50"/>
      <c r="I69" s="50"/>
      <c r="J69" s="50"/>
    </row>
    <row r="70" customFormat="false" ht="15" hidden="false" customHeight="true" outlineLevel="0" collapsed="false">
      <c r="A70" s="13" t="s">
        <v>119</v>
      </c>
      <c r="B70" s="26" t="n">
        <v>0.11</v>
      </c>
    </row>
    <row r="71" customFormat="false" ht="15" hidden="false" customHeight="true" outlineLevel="0" collapsed="false">
      <c r="A71" s="13" t="s">
        <v>120</v>
      </c>
      <c r="B71" s="26" t="n">
        <v>0.035</v>
      </c>
    </row>
    <row r="72" customFormat="false" ht="15" hidden="false" customHeight="true" outlineLevel="0" collapsed="false">
      <c r="A72" s="13" t="s">
        <v>121</v>
      </c>
      <c r="B72" s="26" t="n">
        <v>0.4</v>
      </c>
    </row>
    <row r="73" customFormat="false" ht="15" hidden="false" customHeight="true" outlineLevel="0" collapsed="false">
      <c r="A73" s="13" t="s">
        <v>122</v>
      </c>
      <c r="B73" s="64" t="n">
        <f aca="false">B41/((1+$B$70)^1)</f>
        <v>5076.57657657658</v>
      </c>
      <c r="C73" s="64" t="n">
        <f aca="false">C41/((1+$B$70)^2)</f>
        <v>5801.8018018018</v>
      </c>
      <c r="D73" s="64" t="n">
        <f aca="false">D41/((1+$B$70)^3)</f>
        <v>6501.06936739515</v>
      </c>
      <c r="E73" s="64" t="n">
        <f aca="false">E41/((1+$B$70)^4)</f>
        <v>6908.04321783731</v>
      </c>
      <c r="F73" s="64" t="n">
        <f aca="false">F41/((1+$B$70)^5)</f>
        <v>7144.53478745696</v>
      </c>
    </row>
    <row r="74" customFormat="false" ht="15" hidden="false" customHeight="true" outlineLevel="0" collapsed="false">
      <c r="A74" s="13" t="s">
        <v>123</v>
      </c>
      <c r="B74" s="68" t="n">
        <f aca="false">SUM(B73,C73,D73,E73,F73)</f>
        <v>31432.0257510678</v>
      </c>
    </row>
    <row r="75" customFormat="false" ht="15" hidden="false" customHeight="true" outlineLevel="0" collapsed="false">
      <c r="A75" s="13" t="s">
        <v>124</v>
      </c>
      <c r="B75" s="68" t="n">
        <f aca="false">F39*$B$72</f>
        <v>11745.32352</v>
      </c>
    </row>
    <row r="76" customFormat="false" ht="15" hidden="false" customHeight="true" outlineLevel="0" collapsed="false">
      <c r="A76" s="13" t="s">
        <v>125</v>
      </c>
      <c r="B76" s="68" t="n">
        <f aca="false">B75*(1+$B$71)/($B$70-$B$71)</f>
        <v>162085.464576</v>
      </c>
    </row>
    <row r="77" customFormat="false" ht="15" hidden="false" customHeight="true" outlineLevel="0" collapsed="false">
      <c r="A77" s="13" t="s">
        <v>126</v>
      </c>
      <c r="B77" s="68" t="n">
        <f aca="false">B76/((1+$B$70)^5)</f>
        <v>96189.8342116156</v>
      </c>
    </row>
    <row r="78" customFormat="false" ht="15" hidden="false" customHeight="true" outlineLevel="0" collapsed="false">
      <c r="A78" s="69" t="s">
        <v>127</v>
      </c>
      <c r="B78" s="70" t="n">
        <f aca="false">B74+B77</f>
        <v>127621.859962683</v>
      </c>
    </row>
    <row r="79" customFormat="false" ht="15" hidden="false" customHeight="true" outlineLevel="0" collapsed="false">
      <c r="A79" s="69" t="s">
        <v>164</v>
      </c>
      <c r="B79" s="70" t="n">
        <f aca="false">B78+$B$51</f>
        <v>131312.859962683</v>
      </c>
    </row>
    <row r="80" customFormat="false" ht="15" hidden="false" customHeight="true" outlineLevel="0" collapsed="false">
      <c r="A80" s="69" t="s">
        <v>129</v>
      </c>
      <c r="B80" s="71" t="n">
        <f aca="false">B79/$B$52</f>
        <v>126.262365348734</v>
      </c>
    </row>
    <row r="81" customFormat="false" ht="15" hidden="false" customHeight="true" outlineLevel="0" collapsed="false">
      <c r="A81" s="13" t="s">
        <v>130</v>
      </c>
      <c r="B81" s="72" t="n">
        <f aca="false">($B$53-B80)/B80</f>
        <v>-0.0552212476732598</v>
      </c>
    </row>
    <row r="83" customFormat="false" ht="15" hidden="false" customHeight="true" outlineLevel="0" collapsed="false">
      <c r="A83" s="65" t="s">
        <v>132</v>
      </c>
      <c r="B83" s="5"/>
      <c r="C83" s="5"/>
      <c r="D83" s="5"/>
      <c r="E83" s="5"/>
      <c r="F83" s="5"/>
      <c r="G83" s="5"/>
      <c r="H83" s="5"/>
      <c r="I83" s="5"/>
      <c r="J83" s="5"/>
    </row>
    <row r="84" customFormat="false" ht="15" hidden="false" customHeight="true" outlineLevel="0" collapsed="false">
      <c r="A84" s="13" t="s">
        <v>119</v>
      </c>
      <c r="B84" s="26" t="n">
        <v>0.12</v>
      </c>
    </row>
    <row r="85" customFormat="false" ht="15" hidden="false" customHeight="true" outlineLevel="0" collapsed="false">
      <c r="A85" s="13" t="s">
        <v>120</v>
      </c>
      <c r="B85" s="26" t="n">
        <v>0.03</v>
      </c>
    </row>
    <row r="86" customFormat="false" ht="15" hidden="false" customHeight="true" outlineLevel="0" collapsed="false">
      <c r="A86" s="13" t="s">
        <v>121</v>
      </c>
      <c r="B86" s="26" t="n">
        <v>0.35</v>
      </c>
    </row>
    <row r="87" customFormat="false" ht="15" hidden="false" customHeight="true" outlineLevel="0" collapsed="false">
      <c r="A87" s="13" t="s">
        <v>122</v>
      </c>
      <c r="B87" s="66" t="n">
        <f aca="false">B47/((1+$B$84)^1)</f>
        <v>4600</v>
      </c>
      <c r="C87" s="66" t="n">
        <f aca="false">C47/((1+$B$84)^2)</f>
        <v>4870.81473214286</v>
      </c>
      <c r="D87" s="66" t="n">
        <f aca="false">D47/((1+$B$84)^3)</f>
        <v>5018.41517857143</v>
      </c>
      <c r="E87" s="66" t="n">
        <f aca="false">E47/((1+$B$84)^4)</f>
        <v>5073.76534598214</v>
      </c>
      <c r="F87" s="66" t="n">
        <f aca="false">F47/((1+$B$84)^5)</f>
        <v>5032.34685336188</v>
      </c>
    </row>
    <row r="88" customFormat="false" ht="15" hidden="false" customHeight="true" outlineLevel="0" collapsed="false">
      <c r="A88" s="13" t="s">
        <v>123</v>
      </c>
      <c r="B88" s="68" t="n">
        <f aca="false">SUM(B87,C87,D87,E87,F87)</f>
        <v>24595.3421100583</v>
      </c>
    </row>
    <row r="89" customFormat="false" ht="15" hidden="false" customHeight="true" outlineLevel="0" collapsed="false">
      <c r="A89" s="13" t="s">
        <v>124</v>
      </c>
      <c r="B89" s="68" t="n">
        <f aca="false">F45*$B$86</f>
        <v>8622.36144</v>
      </c>
    </row>
    <row r="90" customFormat="false" ht="15" hidden="false" customHeight="true" outlineLevel="0" collapsed="false">
      <c r="A90" s="13" t="s">
        <v>125</v>
      </c>
      <c r="B90" s="68" t="n">
        <f aca="false">B89*(1+$B$85)/($B$84-$B$85)</f>
        <v>98678.13648</v>
      </c>
    </row>
    <row r="91" customFormat="false" ht="15" hidden="false" customHeight="true" outlineLevel="0" collapsed="false">
      <c r="A91" s="13" t="s">
        <v>126</v>
      </c>
      <c r="B91" s="68" t="n">
        <f aca="false">B90/((1+$B$84)^5)</f>
        <v>55992.6247110172</v>
      </c>
    </row>
    <row r="92" customFormat="false" ht="15" hidden="false" customHeight="true" outlineLevel="0" collapsed="false">
      <c r="A92" s="69" t="s">
        <v>127</v>
      </c>
      <c r="B92" s="70" t="n">
        <f aca="false">B88+B91</f>
        <v>80587.9668210755</v>
      </c>
    </row>
    <row r="93" customFormat="false" ht="15" hidden="false" customHeight="true" outlineLevel="0" collapsed="false">
      <c r="A93" s="69" t="s">
        <v>164</v>
      </c>
      <c r="B93" s="70" t="n">
        <f aca="false">B92+$B$51</f>
        <v>84278.9668210755</v>
      </c>
    </row>
    <row r="94" customFormat="false" ht="15" hidden="false" customHeight="true" outlineLevel="0" collapsed="false">
      <c r="A94" s="69" t="s">
        <v>129</v>
      </c>
      <c r="B94" s="71" t="n">
        <f aca="false">B93/$B$52</f>
        <v>81.037468097188</v>
      </c>
    </row>
    <row r="95" customFormat="false" ht="15" hidden="false" customHeight="true" outlineLevel="0" collapsed="false">
      <c r="A95" s="13" t="s">
        <v>130</v>
      </c>
      <c r="B95" s="72" t="n">
        <f aca="false">($B$53-B94)/B94</f>
        <v>0.47203513141521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6"/>
    <col collapsed="false" customWidth="true" hidden="false" outlineLevel="0" max="7" min="7" style="1" width="32"/>
  </cols>
  <sheetData>
    <row r="1" customFormat="false" ht="27.75" hidden="false" customHeight="true" outlineLevel="0" collapsed="false">
      <c r="A1" s="48" t="s">
        <v>165</v>
      </c>
      <c r="B1" s="48"/>
      <c r="C1" s="48"/>
      <c r="D1" s="48"/>
      <c r="E1" s="48"/>
      <c r="F1" s="48"/>
      <c r="G1" s="48"/>
    </row>
    <row r="3" customFormat="false" ht="23.25" hidden="false" customHeight="true" outlineLevel="0" collapsed="false">
      <c r="A3" s="41" t="s">
        <v>166</v>
      </c>
      <c r="B3" s="42"/>
      <c r="C3" s="42"/>
      <c r="D3" s="42"/>
      <c r="E3" s="42"/>
      <c r="F3" s="42"/>
      <c r="G3" s="42"/>
    </row>
    <row r="4" customFormat="false" ht="15" hidden="false" customHeight="true" outlineLevel="0" collapsed="false">
      <c r="A4" s="42" t="s">
        <v>6</v>
      </c>
      <c r="B4" s="42" t="s">
        <v>135</v>
      </c>
      <c r="C4" s="42" t="s">
        <v>167</v>
      </c>
      <c r="D4" s="42" t="s">
        <v>168</v>
      </c>
      <c r="E4" s="42" t="s">
        <v>169</v>
      </c>
      <c r="F4" s="42" t="s">
        <v>170</v>
      </c>
      <c r="G4" s="42" t="s">
        <v>171</v>
      </c>
    </row>
    <row r="5" customFormat="false" ht="15" hidden="false" customHeight="true" outlineLevel="0" collapsed="false">
      <c r="A5" s="77" t="s">
        <v>172</v>
      </c>
      <c r="B5" s="26" t="n">
        <v>0.85</v>
      </c>
      <c r="C5" s="26" t="n">
        <v>0.6</v>
      </c>
      <c r="D5" s="74" t="n">
        <f aca="false">(B5+C5)*100</f>
        <v>145</v>
      </c>
      <c r="E5" s="30" t="n">
        <v>46.5</v>
      </c>
      <c r="F5" s="30" t="n">
        <v>82.7</v>
      </c>
      <c r="G5" s="78" t="s">
        <v>173</v>
      </c>
    </row>
    <row r="6" customFormat="false" ht="23.25" hidden="false" customHeight="true" outlineLevel="0" collapsed="false">
      <c r="A6" s="79" t="s">
        <v>174</v>
      </c>
      <c r="B6" s="55" t="n">
        <v>0.22</v>
      </c>
      <c r="C6" s="55" t="n">
        <v>0.32</v>
      </c>
      <c r="D6" s="80" t="n">
        <f aca="false">(B6+C6)*100</f>
        <v>54</v>
      </c>
      <c r="E6" s="81" t="n">
        <v>7.5</v>
      </c>
      <c r="F6" s="81" t="n">
        <v>21.3</v>
      </c>
      <c r="G6" s="82" t="s">
        <v>175</v>
      </c>
    </row>
    <row r="9" customFormat="false" ht="45.75" hidden="false" customHeight="true" outlineLevel="0" collapsed="false">
      <c r="A9" s="41" t="s">
        <v>176</v>
      </c>
      <c r="B9" s="42"/>
      <c r="C9" s="42"/>
      <c r="D9" s="42"/>
      <c r="E9" s="42"/>
      <c r="F9" s="42"/>
      <c r="G9" s="42"/>
    </row>
    <row r="10" customFormat="false" ht="15" hidden="false" customHeight="true" outlineLevel="0" collapsed="false">
      <c r="A10" s="42" t="s">
        <v>6</v>
      </c>
      <c r="B10" s="42" t="s">
        <v>9</v>
      </c>
      <c r="C10" s="42" t="s">
        <v>177</v>
      </c>
      <c r="D10" s="42" t="s">
        <v>178</v>
      </c>
      <c r="E10" s="42" t="s">
        <v>168</v>
      </c>
      <c r="F10" s="42" t="s">
        <v>179</v>
      </c>
      <c r="G10" s="42" t="s">
        <v>180</v>
      </c>
    </row>
    <row r="11" customFormat="false" ht="15" hidden="false" customHeight="true" outlineLevel="0" collapsed="false">
      <c r="A11" s="77" t="s">
        <v>181</v>
      </c>
      <c r="B11" s="73" t="s">
        <v>10</v>
      </c>
      <c r="C11" s="26" t="n">
        <v>0.71</v>
      </c>
      <c r="D11" s="26" t="n">
        <v>0.56</v>
      </c>
      <c r="E11" s="74" t="n">
        <f aca="false">(C11+D11)*100</f>
        <v>127</v>
      </c>
      <c r="F11" s="30" t="n">
        <v>46.5</v>
      </c>
      <c r="G11" s="78" t="s">
        <v>182</v>
      </c>
    </row>
    <row r="12" customFormat="false" ht="15" hidden="false" customHeight="true" outlineLevel="0" collapsed="false">
      <c r="A12" s="79" t="s">
        <v>183</v>
      </c>
      <c r="B12" s="76" t="s">
        <v>11</v>
      </c>
      <c r="C12" s="55" t="n">
        <v>0.22</v>
      </c>
      <c r="D12" s="55" t="n">
        <v>0.35</v>
      </c>
      <c r="E12" s="80" t="n">
        <f aca="false">(C12+D12)*100</f>
        <v>57</v>
      </c>
      <c r="F12" s="81" t="n">
        <v>7.5</v>
      </c>
      <c r="G12" s="82" t="s">
        <v>184</v>
      </c>
    </row>
    <row r="13" customFormat="false" ht="15" hidden="false" customHeight="true" outlineLevel="0" collapsed="false">
      <c r="A13" s="77" t="s">
        <v>185</v>
      </c>
      <c r="B13" s="73" t="s">
        <v>186</v>
      </c>
      <c r="C13" s="26" t="n">
        <v>0.09</v>
      </c>
      <c r="D13" s="26" t="n">
        <v>0.32</v>
      </c>
      <c r="E13" s="74" t="n">
        <f aca="false">(C13+D13)*100</f>
        <v>41</v>
      </c>
      <c r="F13" s="30" t="n">
        <v>6.5</v>
      </c>
      <c r="G13" s="78" t="s">
        <v>187</v>
      </c>
    </row>
    <row r="14" customFormat="false" ht="15" hidden="false" customHeight="true" outlineLevel="0" collapsed="false">
      <c r="A14" s="79" t="s">
        <v>188</v>
      </c>
      <c r="B14" s="76" t="s">
        <v>189</v>
      </c>
      <c r="C14" s="55" t="n">
        <v>0.23</v>
      </c>
      <c r="D14" s="55" t="n">
        <v>0.18</v>
      </c>
      <c r="E14" s="80" t="n">
        <f aca="false">(C14+D14)*100</f>
        <v>41</v>
      </c>
      <c r="F14" s="81" t="n">
        <v>10</v>
      </c>
      <c r="G14" s="82" t="s">
        <v>190</v>
      </c>
    </row>
    <row r="15" customFormat="false" ht="15" hidden="false" customHeight="true" outlineLevel="0" collapsed="false">
      <c r="A15" s="77" t="s">
        <v>191</v>
      </c>
      <c r="B15" s="73" t="s">
        <v>192</v>
      </c>
      <c r="C15" s="26" t="n">
        <v>0.23</v>
      </c>
      <c r="D15" s="26" t="n">
        <v>0.25</v>
      </c>
      <c r="E15" s="74" t="n">
        <f aca="false">(C15+D15)*100</f>
        <v>48</v>
      </c>
      <c r="F15" s="30" t="n">
        <v>14</v>
      </c>
      <c r="G15" s="78" t="s">
        <v>193</v>
      </c>
    </row>
    <row r="16" customFormat="false" ht="15" hidden="false" customHeight="true" outlineLevel="0" collapsed="false">
      <c r="A16" s="79" t="s">
        <v>194</v>
      </c>
      <c r="B16" s="76" t="s">
        <v>195</v>
      </c>
      <c r="C16" s="55" t="n">
        <v>0.2</v>
      </c>
      <c r="D16" s="55" t="n">
        <v>0.28</v>
      </c>
      <c r="E16" s="80" t="n">
        <f aca="false">(C16+D16)*100</f>
        <v>48</v>
      </c>
      <c r="F16" s="81" t="n">
        <v>20</v>
      </c>
      <c r="G16" s="82" t="s">
        <v>196</v>
      </c>
    </row>
    <row r="17" customFormat="false" ht="15" hidden="false" customHeight="true" outlineLevel="0" collapsed="false">
      <c r="A17" s="77" t="s">
        <v>197</v>
      </c>
      <c r="B17" s="73" t="s">
        <v>198</v>
      </c>
      <c r="C17" s="26" t="n">
        <v>0.14</v>
      </c>
      <c r="D17" s="26" t="n">
        <v>0.25</v>
      </c>
      <c r="E17" s="74" t="n">
        <f aca="false">(C17+D17)*100</f>
        <v>39</v>
      </c>
      <c r="F17" s="30" t="n">
        <v>6</v>
      </c>
      <c r="G17" s="78" t="s">
        <v>199</v>
      </c>
    </row>
    <row r="19" customFormat="false" ht="15" hidden="false" customHeight="true" outlineLevel="0" collapsed="false">
      <c r="A19" s="83" t="s">
        <v>200</v>
      </c>
      <c r="B19" s="83"/>
      <c r="C19" s="83"/>
      <c r="D19" s="83"/>
      <c r="E19" s="83"/>
      <c r="F19" s="83"/>
      <c r="G19" s="83"/>
    </row>
    <row r="21" customFormat="false" ht="34.5" hidden="false" customHeight="true" outlineLevel="0" collapsed="false">
      <c r="A21" s="41" t="s">
        <v>201</v>
      </c>
      <c r="B21" s="42"/>
      <c r="C21" s="42"/>
      <c r="D21" s="42"/>
      <c r="E21" s="42"/>
      <c r="F21" s="42"/>
      <c r="G21" s="42"/>
    </row>
    <row r="22" customFormat="false" ht="15" hidden="false" customHeight="true" outlineLevel="0" collapsed="false">
      <c r="A22" s="42" t="s">
        <v>6</v>
      </c>
      <c r="B22" s="42" t="s">
        <v>202</v>
      </c>
      <c r="C22" s="42" t="s">
        <v>203</v>
      </c>
      <c r="D22" s="42" t="s">
        <v>204</v>
      </c>
      <c r="E22" s="42" t="s">
        <v>205</v>
      </c>
      <c r="F22" s="42" t="s">
        <v>206</v>
      </c>
      <c r="G22" s="42" t="s">
        <v>207</v>
      </c>
    </row>
    <row r="23" customFormat="false" ht="15" hidden="false" customHeight="true" outlineLevel="0" collapsed="false">
      <c r="A23" s="69" t="s">
        <v>10</v>
      </c>
      <c r="B23" s="84" t="n">
        <f aca="false">PLTR_Model!$B$51</f>
        <v>141.51</v>
      </c>
      <c r="C23" s="84" t="n">
        <f aca="false">PLTR_Model!$B$64</f>
        <v>71.3838724200621</v>
      </c>
      <c r="D23" s="84" t="n">
        <f aca="false">PLTR_Model!$B$78</f>
        <v>40.1577935475671</v>
      </c>
      <c r="E23" s="84" t="n">
        <f aca="false">PLTR_Model!$B$92</f>
        <v>20.5045453074175</v>
      </c>
      <c r="F23" s="72" t="n">
        <f aca="false">(B23-C23)/C23</f>
        <v>0.982380546228665</v>
      </c>
      <c r="G23" s="72" t="n">
        <f aca="false">(B23-D23)/D23</f>
        <v>2.52384898419234</v>
      </c>
    </row>
    <row r="24" customFormat="false" ht="15" hidden="false" customHeight="true" outlineLevel="0" collapsed="false">
      <c r="A24" s="69" t="s">
        <v>11</v>
      </c>
      <c r="B24" s="84" t="n">
        <f aca="false">NOW_Model!$B$53</f>
        <v>119.29</v>
      </c>
      <c r="C24" s="84" t="n">
        <f aca="false">NOW_Model!$B$66</f>
        <v>178.71137787003</v>
      </c>
      <c r="D24" s="84" t="n">
        <f aca="false">NOW_Model!$B$80</f>
        <v>126.262365348734</v>
      </c>
      <c r="E24" s="84" t="n">
        <f aca="false">NOW_Model!$B$94</f>
        <v>81.037468097188</v>
      </c>
      <c r="F24" s="72" t="n">
        <f aca="false">(B24-C24)/C24</f>
        <v>-0.332499131159095</v>
      </c>
      <c r="G24" s="72" t="n">
        <f aca="false">(B24-D24)/D24</f>
        <v>-0.0552212476732598</v>
      </c>
    </row>
  </sheetData>
  <mergeCells count="2">
    <mergeCell ref="A1:G1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8" min="4" style="1" width="14"/>
    <col collapsed="false" customWidth="true" hidden="false" outlineLevel="0" max="9" min="9" style="1" width="38"/>
  </cols>
  <sheetData>
    <row r="1" customFormat="false" ht="27.75" hidden="false" customHeight="true" outlineLevel="0" collapsed="false">
      <c r="A1" s="48" t="s">
        <v>208</v>
      </c>
      <c r="B1" s="48"/>
      <c r="C1" s="48"/>
      <c r="D1" s="48"/>
      <c r="E1" s="48"/>
      <c r="F1" s="48"/>
      <c r="G1" s="48"/>
      <c r="H1" s="48"/>
      <c r="I1" s="48"/>
    </row>
    <row r="3" customFormat="false" ht="23.25" hidden="false" customHeight="true" outlineLevel="0" collapsed="false">
      <c r="A3" s="49" t="s">
        <v>209</v>
      </c>
      <c r="B3" s="50"/>
      <c r="C3" s="50"/>
      <c r="D3" s="50"/>
      <c r="E3" s="50"/>
      <c r="F3" s="50"/>
      <c r="G3" s="50"/>
      <c r="H3" s="50"/>
      <c r="I3" s="50"/>
    </row>
    <row r="4" customFormat="false" ht="15" hidden="false" customHeight="true" outlineLevel="0" collapsed="false">
      <c r="A4" s="42" t="s">
        <v>9</v>
      </c>
      <c r="B4" s="42" t="s">
        <v>210</v>
      </c>
      <c r="C4" s="42" t="s">
        <v>39</v>
      </c>
      <c r="D4" s="42" t="s">
        <v>43</v>
      </c>
      <c r="E4" s="42" t="s">
        <v>211</v>
      </c>
      <c r="F4" s="42" t="s">
        <v>212</v>
      </c>
      <c r="G4" s="42" t="s">
        <v>213</v>
      </c>
      <c r="H4" s="42" t="s">
        <v>214</v>
      </c>
      <c r="I4" s="42" t="s">
        <v>171</v>
      </c>
    </row>
    <row r="5" customFormat="false" ht="15" hidden="false" customHeight="true" outlineLevel="0" collapsed="false">
      <c r="A5" s="85" t="s">
        <v>10</v>
      </c>
      <c r="B5" s="38" t="n">
        <v>141.51</v>
      </c>
      <c r="C5" s="26" t="n">
        <v>0.6879</v>
      </c>
      <c r="D5" s="33" t="n">
        <v>46.73</v>
      </c>
      <c r="E5" s="38" t="n">
        <v>162</v>
      </c>
      <c r="F5" s="37"/>
      <c r="G5" s="37"/>
      <c r="H5" s="34"/>
      <c r="I5" s="14" t="s">
        <v>215</v>
      </c>
    </row>
    <row r="6" customFormat="false" ht="15" hidden="false" customHeight="true" outlineLevel="0" collapsed="false">
      <c r="A6" s="85" t="s">
        <v>11</v>
      </c>
      <c r="B6" s="38" t="n">
        <v>119.29</v>
      </c>
      <c r="C6" s="53"/>
      <c r="D6" s="34"/>
      <c r="E6" s="37"/>
      <c r="F6" s="38" t="n">
        <v>81.24</v>
      </c>
      <c r="G6" s="38" t="n">
        <v>211.48</v>
      </c>
      <c r="H6" s="34"/>
      <c r="I6" s="14" t="s">
        <v>216</v>
      </c>
    </row>
    <row r="9" customFormat="false" ht="23.25" hidden="false" customHeight="true" outlineLevel="0" collapsed="false">
      <c r="A9" s="41" t="s">
        <v>217</v>
      </c>
      <c r="B9" s="42"/>
      <c r="C9" s="42"/>
      <c r="D9" s="42"/>
      <c r="E9" s="42"/>
      <c r="F9" s="42"/>
      <c r="G9" s="42"/>
      <c r="H9" s="42"/>
      <c r="I9" s="42"/>
    </row>
    <row r="10" customFormat="false" ht="15" hidden="false" customHeight="true" outlineLevel="0" collapsed="false">
      <c r="A10" s="42" t="s">
        <v>218</v>
      </c>
      <c r="B10" s="42" t="s">
        <v>9</v>
      </c>
      <c r="C10" s="42" t="s">
        <v>219</v>
      </c>
      <c r="D10" s="42" t="s">
        <v>220</v>
      </c>
      <c r="E10" s="42" t="s">
        <v>221</v>
      </c>
      <c r="F10" s="42" t="s">
        <v>222</v>
      </c>
      <c r="G10" s="42" t="s">
        <v>223</v>
      </c>
      <c r="H10" s="42" t="s">
        <v>224</v>
      </c>
      <c r="I10" s="42" t="s">
        <v>225</v>
      </c>
    </row>
    <row r="11" customFormat="false" ht="34.5" hidden="false" customHeight="true" outlineLevel="0" collapsed="false">
      <c r="A11" s="86" t="s">
        <v>226</v>
      </c>
      <c r="B11" s="7" t="s">
        <v>10</v>
      </c>
      <c r="C11" s="86" t="s">
        <v>227</v>
      </c>
      <c r="D11" s="7" t="s">
        <v>228</v>
      </c>
      <c r="E11" s="7" t="s">
        <v>229</v>
      </c>
      <c r="F11" s="7" t="s">
        <v>230</v>
      </c>
      <c r="G11" s="7" t="s">
        <v>230</v>
      </c>
      <c r="H11" s="7" t="s">
        <v>231</v>
      </c>
      <c r="I11" s="86" t="s">
        <v>232</v>
      </c>
    </row>
    <row r="12" customFormat="false" ht="34.5" hidden="false" customHeight="true" outlineLevel="0" collapsed="false">
      <c r="A12" s="86" t="s">
        <v>233</v>
      </c>
      <c r="B12" s="7" t="s">
        <v>10</v>
      </c>
      <c r="C12" s="86" t="s">
        <v>234</v>
      </c>
      <c r="D12" s="7" t="s">
        <v>235</v>
      </c>
      <c r="E12" s="7" t="s">
        <v>236</v>
      </c>
      <c r="F12" s="7" t="s">
        <v>237</v>
      </c>
      <c r="G12" s="7" t="s">
        <v>238</v>
      </c>
      <c r="H12" s="7" t="s">
        <v>239</v>
      </c>
      <c r="I12" s="86" t="s">
        <v>240</v>
      </c>
    </row>
    <row r="13" customFormat="false" ht="34.5" hidden="false" customHeight="true" outlineLevel="0" collapsed="false">
      <c r="A13" s="86" t="s">
        <v>241</v>
      </c>
      <c r="B13" s="7" t="s">
        <v>10</v>
      </c>
      <c r="C13" s="86" t="s">
        <v>242</v>
      </c>
      <c r="D13" s="7" t="s">
        <v>243</v>
      </c>
      <c r="E13" s="7" t="s">
        <v>244</v>
      </c>
      <c r="F13" s="7" t="s">
        <v>245</v>
      </c>
      <c r="G13" s="7" t="s">
        <v>246</v>
      </c>
      <c r="H13" s="7" t="s">
        <v>247</v>
      </c>
      <c r="I13" s="86" t="s">
        <v>248</v>
      </c>
    </row>
    <row r="14" customFormat="false" ht="34.5" hidden="false" customHeight="true" outlineLevel="0" collapsed="false">
      <c r="A14" s="87" t="s">
        <v>249</v>
      </c>
      <c r="B14" s="11" t="s">
        <v>11</v>
      </c>
      <c r="C14" s="87" t="s">
        <v>250</v>
      </c>
      <c r="D14" s="11" t="s">
        <v>251</v>
      </c>
      <c r="E14" s="11" t="s">
        <v>252</v>
      </c>
      <c r="F14" s="11" t="s">
        <v>253</v>
      </c>
      <c r="G14" s="11" t="s">
        <v>254</v>
      </c>
      <c r="H14" s="11" t="s">
        <v>253</v>
      </c>
      <c r="I14" s="87" t="s">
        <v>255</v>
      </c>
    </row>
    <row r="15" customFormat="false" ht="34.5" hidden="false" customHeight="true" outlineLevel="0" collapsed="false">
      <c r="A15" s="87" t="s">
        <v>256</v>
      </c>
      <c r="B15" s="11" t="s">
        <v>11</v>
      </c>
      <c r="C15" s="87" t="s">
        <v>242</v>
      </c>
      <c r="D15" s="11" t="s">
        <v>257</v>
      </c>
      <c r="E15" s="11" t="s">
        <v>258</v>
      </c>
      <c r="F15" s="11" t="s">
        <v>259</v>
      </c>
      <c r="G15" s="11" t="s">
        <v>260</v>
      </c>
      <c r="H15" s="11" t="s">
        <v>261</v>
      </c>
      <c r="I15" s="87" t="s">
        <v>262</v>
      </c>
    </row>
    <row r="16" customFormat="false" ht="34.5" hidden="false" customHeight="true" outlineLevel="0" collapsed="false">
      <c r="A16" s="87" t="s">
        <v>263</v>
      </c>
      <c r="B16" s="11" t="s">
        <v>11</v>
      </c>
      <c r="C16" s="87" t="s">
        <v>234</v>
      </c>
      <c r="D16" s="11" t="s">
        <v>264</v>
      </c>
      <c r="E16" s="11" t="s">
        <v>236</v>
      </c>
      <c r="F16" s="11" t="s">
        <v>265</v>
      </c>
      <c r="G16" s="11" t="s">
        <v>266</v>
      </c>
      <c r="H16" s="11" t="s">
        <v>239</v>
      </c>
      <c r="I16" s="87" t="s">
        <v>267</v>
      </c>
    </row>
    <row r="19" customFormat="false" ht="21.75" hidden="false" customHeight="true" outlineLevel="0" collapsed="false">
      <c r="A19" s="83" t="s">
        <v>268</v>
      </c>
      <c r="B19" s="83"/>
      <c r="C19" s="83"/>
      <c r="D19" s="83"/>
      <c r="E19" s="83"/>
      <c r="F19" s="83"/>
      <c r="G19" s="83"/>
      <c r="H19" s="83"/>
      <c r="I19" s="83"/>
    </row>
  </sheetData>
  <mergeCells count="2">
    <mergeCell ref="A1:I1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2026-06-05T18:40:16Z</dcterms:created>
  <dc:creator>openpyxl</dc:creator>
  <dc:description/>
  <dc:language>en-US</dc:language>
  <cp:lastModifiedBy/>
  <dcterms:modified xsi:type="dcterms:W3CDTF">2026-06-05T18:40:51Z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