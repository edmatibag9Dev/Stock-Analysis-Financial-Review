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del" sheetId="2" state="visible" r:id="rId4"/>
    <sheet name="Rule_of_40" sheetId="3" state="visible" r:id="rId5"/>
    <sheet name="Options_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14" authorId="0">
      <text>
        <r>
          <rPr>
            <sz val="10"/>
            <rFont val="Arial"/>
            <family val="2"/>
          </rPr>
          <t xml:space="preserve">TRMB Q1 2026 8-K</t>
        </r>
      </text>
    </comment>
    <comment ref="B15" authorId="0">
      <text>
        <r>
          <rPr>
            <sz val="10"/>
            <rFont val="Arial"/>
            <family val="2"/>
          </rPr>
          <t xml:space="preserve">+12% reported &amp; organic</t>
        </r>
      </text>
    </comment>
    <comment ref="B16" authorId="0">
      <text>
        <r>
          <rPr>
            <sz val="10"/>
            <rFont val="Arial"/>
            <family val="2"/>
          </rPr>
          <t xml:space="preserve">+12% YoY, +12% organic</t>
        </r>
      </text>
    </comment>
    <comment ref="B17" authorId="0">
      <text>
        <r>
          <rPr>
            <sz val="10"/>
            <rFont val="Arial"/>
            <family val="2"/>
          </rPr>
          <t xml:space="preserve">78% of Q1'26 revenue</t>
        </r>
      </text>
    </comment>
    <comment ref="B18" authorId="0">
      <text>
        <r>
          <rPr>
            <sz val="10"/>
            <rFont val="Arial"/>
            <family val="2"/>
          </rPr>
          <t xml:space="preserve">$666.9M</t>
        </r>
      </text>
    </comment>
    <comment ref="B19" authorId="0">
      <text>
        <r>
          <rPr>
            <sz val="10"/>
            <rFont val="Arial"/>
            <family val="2"/>
          </rPr>
          <t xml:space="preserve">$243.2M</t>
        </r>
      </text>
    </comment>
    <comment ref="B20" authorId="0">
      <text>
        <r>
          <rPr>
            <sz val="10"/>
            <rFont val="Arial"/>
            <family val="2"/>
          </rPr>
          <t xml:space="preserve">$257.7M</t>
        </r>
      </text>
    </comment>
    <comment ref="B21" authorId="0">
      <text>
        <r>
          <rPr>
            <sz val="10"/>
            <rFont val="Arial"/>
            <family val="2"/>
          </rPr>
          <t xml:space="preserve">Guidance $3.47-3.64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4" authorId="0">
      <text>
        <r>
          <rPr>
            <sz val="10"/>
            <rFont val="Arial"/>
            <family val="2"/>
          </rPr>
          <t xml:space="preserve">Market data 2026-06-11 (~$49.90-50.60)</t>
        </r>
      </text>
    </comment>
    <comment ref="B5" authorId="0">
      <text>
        <r>
          <rPr>
            <sz val="10"/>
            <rFont val="Arial"/>
            <family val="2"/>
          </rPr>
          <t xml:space="preserve">Q1'26 ~236.9M; ~235M guided</t>
        </r>
      </text>
    </comment>
    <comment ref="B6" authorId="0">
      <text>
        <r>
          <rPr>
            <sz val="10"/>
            <rFont val="Arial"/>
            <family val="2"/>
          </rPr>
          <t xml:space="preserve">TRMB Q1 2026 8-K Ex-99.1</t>
        </r>
      </text>
    </comment>
    <comment ref="B7" authorId="0">
      <text>
        <r>
          <rPr>
            <sz val="10"/>
            <rFont val="Arial"/>
            <family val="2"/>
          </rPr>
          <t xml:space="preserve">TRMB Q1 2026 8-K Ex-99.1</t>
        </r>
      </text>
    </comment>
    <comment ref="B9" authorId="0">
      <text>
        <r>
          <rPr>
            <sz val="10"/>
            <rFont val="Arial"/>
            <family val="2"/>
          </rPr>
          <t xml:space="preserve">Hybrid SW/HW, net lev 1.1x</t>
        </r>
      </text>
    </comment>
    <comment ref="B10" authorId="0">
      <text>
        <r>
          <rPr>
            <sz val="10"/>
            <rFont val="Arial"/>
            <family val="2"/>
          </rPr>
          <t xml:space="preserve">Est FY2025 ~$3.48-3.56B guidance</t>
        </r>
      </text>
    </comment>
    <comment ref="B11" authorId="0">
      <text>
        <r>
          <rPr>
            <sz val="10"/>
            <rFont val="Arial"/>
            <family val="2"/>
          </rPr>
          <t xml:space="preserve">Guidance $3,835-3,915M</t>
        </r>
      </text>
    </comment>
  </commentList>
</comments>
</file>

<file path=xl/sharedStrings.xml><?xml version="1.0" encoding="utf-8"?>
<sst xmlns="http://schemas.openxmlformats.org/spreadsheetml/2006/main" count="201" uniqueCount="168">
  <si>
    <t xml:space="preserve">TRMB — INVESTMENT DASHBOARD</t>
  </si>
  <si>
    <t xml:space="preserve">Trimble Inc. (NASDAQ: TRMB)  |  Analyst: Ed  |  Date: 2026-06-11  |  $ in millions unless noted</t>
  </si>
  <si>
    <t xml:space="preserve">Snapshot</t>
  </si>
  <si>
    <t xml:space="preserve">Current Price</t>
  </si>
  <si>
    <t xml:space="preserve">Diluted Shares (M)</t>
  </si>
  <si>
    <t xml:space="preserve">Market Cap ($M)</t>
  </si>
  <si>
    <t xml:space="preserve">Cash &amp; Equivalents ($M)</t>
  </si>
  <si>
    <t xml:space="preserve">Total Debt ($M)</t>
  </si>
  <si>
    <t xml:space="preserve">Net Debt ($M)</t>
  </si>
  <si>
    <t xml:space="preserve">Enterprise Value ($M)</t>
  </si>
  <si>
    <t xml:space="preserve">Operating Metrics (Q1 2026)</t>
  </si>
  <si>
    <t xml:space="preserve">Q1'26 Revenue ($M)</t>
  </si>
  <si>
    <t xml:space="preserve">Q1'26 Revenue Growth YoY</t>
  </si>
  <si>
    <t xml:space="preserve">ARR ($B)</t>
  </si>
  <si>
    <t xml:space="preserve">Recurring/Software % of Rev</t>
  </si>
  <si>
    <t xml:space="preserve">Non-GAAP Gross Margin</t>
  </si>
  <si>
    <t xml:space="preserve">Non-GAAP Operating Margin</t>
  </si>
  <si>
    <t xml:space="preserve">Adj. EBITDA Margin</t>
  </si>
  <si>
    <t xml:space="preserve">FY2026E Non-GAAP EPS (mid)</t>
  </si>
  <si>
    <t xml:space="preserve">Valuation Multiples</t>
  </si>
  <si>
    <t xml:space="preserve">EV / FY2026E Revenue</t>
  </si>
  <si>
    <t xml:space="preserve">Fwd P/E (Price / FY26E NG-EPS)</t>
  </si>
  <si>
    <t xml:space="preserve">EV / FY2026E Adj. EBITDA</t>
  </si>
  <si>
    <t xml:space="preserve">FCF Yield (FY26E FCF / Mkt Cap)</t>
  </si>
  <si>
    <t xml:space="preserve">Rule of 40 (hybrid SW/HW)</t>
  </si>
  <si>
    <t xml:space="preserve">Organic Growth + Non-GAAP Op Margin</t>
  </si>
  <si>
    <t xml:space="preserve">Organic Growth + FCF Margin (FY26E)</t>
  </si>
  <si>
    <t xml:space="preserve">DCF Intrinsic Value / Share (linked from Model)</t>
  </si>
  <si>
    <t xml:space="preserve">Scenario</t>
  </si>
  <si>
    <t xml:space="preserve">Bear</t>
  </si>
  <si>
    <t xml:space="preserve">Base</t>
  </si>
  <si>
    <t xml:space="preserve">Bull</t>
  </si>
  <si>
    <t xml:space="preserve">Intrinsic Price/Share</t>
  </si>
  <si>
    <t xml:space="preserve">Upside / (Downside) vs. Current</t>
  </si>
  <si>
    <t xml:space="preserve">Technical Levels</t>
  </si>
  <si>
    <t xml:space="preserve">52-Week High</t>
  </si>
  <si>
    <t xml:space="preserve">52-Week Low</t>
  </si>
  <si>
    <t xml:space="preserve">50-Day SMA (approx)</t>
  </si>
  <si>
    <t xml:space="preserve">200-Day SMA (approx)</t>
  </si>
  <si>
    <t xml:space="preserve">RSI (14)</t>
  </si>
  <si>
    <t xml:space="preserve">IV Rank (elevated)</t>
  </si>
  <si>
    <t xml:space="preserve">Price below both SMAs — downtrend; RSI oversold (~26).</t>
  </si>
  <si>
    <t xml:space="preserve">TRMB — DCF VALUATION MODEL (Single WACC across all scenarios)</t>
  </si>
  <si>
    <t xml:space="preserve">Current Price ($)</t>
  </si>
  <si>
    <t xml:space="preserve">WACC (single, all scenarios)</t>
  </si>
  <si>
    <t xml:space="preserve">FY2025E Revenue base ($M)</t>
  </si>
  <si>
    <t xml:space="preserve">FY2026E Revenue (guid mid, $M)</t>
  </si>
  <si>
    <t xml:space="preserve">Scenario Assumptions  (Bull / Base / Bear share ONE WACC = B9)</t>
  </si>
  <si>
    <t xml:space="preserve">Assumption</t>
  </si>
  <si>
    <t xml:space="preserve">Rev Growth Yr1 (FY26)</t>
  </si>
  <si>
    <t xml:space="preserve">Rev Growth Yr2 (FY27)</t>
  </si>
  <si>
    <t xml:space="preserve">Rev Growth Yr3 (FY28)</t>
  </si>
  <si>
    <t xml:space="preserve">Rev Growth Yr4 (FY29)</t>
  </si>
  <si>
    <t xml:space="preserve">Rev Growth Yr5 (FY30)</t>
  </si>
  <si>
    <t xml:space="preserve">FCF Margin Yr1</t>
  </si>
  <si>
    <t xml:space="preserve">FCF Margin Yr2</t>
  </si>
  <si>
    <t xml:space="preserve">FCF Margin Yr3</t>
  </si>
  <si>
    <t xml:space="preserve">FCF Margin Yr4</t>
  </si>
  <si>
    <t xml:space="preserve">FCF Margin Yr5 (terminal)</t>
  </si>
  <si>
    <t xml:space="preserve">Terminal EV/FCF Multiple</t>
  </si>
  <si>
    <t xml:space="preserve">Terminal Growth (x-check)</t>
  </si>
  <si>
    <t xml:space="preserve">Revenue Projection ($M)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</si>
  <si>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</si>
  <si>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</si>
  <si>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</si>
  <si>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</si>
  <si>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</si>
  <si>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Free Cash Flow Projection ($M)</t>
  </si>
  <si>
    <t xml:space="preserve">DCF Valuation Output</t>
  </si>
  <si>
    <t xml:space="preserve">Metric</t>
  </si>
  <si>
    <t xml:space="preserve">PV of Explicit FCF ($M)</t>
  </si>
  <si>
    <t xml:space="preserve">Terminal Value ($M)</t>
  </si>
  <si>
    <t xml:space="preserve">PV of Terminal Value ($M)</t>
  </si>
  <si>
    <t xml:space="preserve">Equity Value ($M)  [EV - Net Debt]</t>
  </si>
  <si>
    <t xml:space="preserve">Intrinsic Price / Share ($)</t>
  </si>
  <si>
    <t xml:space="preserve">Upside / (Downside)</t>
  </si>
  <si>
    <t xml:space="preserve">Helper — FY2026E Base Case (Dashboard links)</t>
  </si>
  <si>
    <t xml:space="preserve">FY2026E Revenue ($M)</t>
  </si>
  <si>
    <t xml:space="preserve">FY2026E FCF ($M)</t>
  </si>
  <si>
    <t xml:space="preserve">FY2026E FCF Margin</t>
  </si>
  <si>
    <t xml:space="preserve">TRMB — RULE OF 40 &amp; PEER COMPARABLES</t>
  </si>
  <si>
    <t xml:space="preserve">Rule of 40 Scorecard (hybrid software/hardware)</t>
  </si>
  <si>
    <t xml:space="preserve">Basis</t>
  </si>
  <si>
    <t xml:space="preserve">Growth %</t>
  </si>
  <si>
    <t xml:space="preserve">Profit %</t>
  </si>
  <si>
    <t xml:space="preserve">Rule of 40</t>
  </si>
  <si>
    <t xml:space="preserve">Verdict</t>
  </si>
  <si>
    <t xml:space="preserve">Q1'26 ARR organic + NG Op Margin</t>
  </si>
  <si>
    <t xml:space="preserve">Healthy (~38)</t>
  </si>
  <si>
    <t xml:space="preserve">Q1'26 Rev growth + Adj EBITDA margin</t>
  </si>
  <si>
    <t xml:space="preserve">Healthy (~39)</t>
  </si>
  <si>
    <t xml:space="preserve">FY26E Rev growth + FCF margin</t>
  </si>
  <si>
    <t xml:space="preserve">Below 40 (~28)</t>
  </si>
  <si>
    <t xml:space="preserve">Segment Mix — Q1 2026</t>
  </si>
  <si>
    <t xml:space="preserve">Segment</t>
  </si>
  <si>
    <t xml:space="preserve">Q1'26 Rev ($M)</t>
  </si>
  <si>
    <t xml:space="preserve">YoY Growth</t>
  </si>
  <si>
    <t xml:space="preserve">% of Total</t>
  </si>
  <si>
    <t xml:space="preserve">AECO (Arch/Eng/Construction)</t>
  </si>
  <si>
    <t xml:space="preserve">Field Systems</t>
  </si>
  <si>
    <t xml:space="preserve">Transport &amp; Logistics</t>
  </si>
  <si>
    <t xml:space="preserve">Total</t>
  </si>
  <si>
    <t xml:space="preserve">Peer Comparables (approximate — relative context only)</t>
  </si>
  <si>
    <t xml:space="preserve">Company</t>
  </si>
  <si>
    <t xml:space="preserve">Ticker</t>
  </si>
  <si>
    <t xml:space="preserve">Fwd Rev Gr</t>
  </si>
  <si>
    <t xml:space="preserve">FCF Margin</t>
  </si>
  <si>
    <t xml:space="preserve">Fwd EV/Sales</t>
  </si>
  <si>
    <t xml:space="preserve">Note</t>
  </si>
  <si>
    <t xml:space="preserve">Trimble</t>
  </si>
  <si>
    <t xml:space="preserve">TRMB</t>
  </si>
  <si>
    <t xml:space="preserve">Subject — 78% recurring</t>
  </si>
  <si>
    <t xml:space="preserve">Hexagon AB</t>
  </si>
  <si>
    <t xml:space="preserve">HXGBY</t>
  </si>
  <si>
    <t xml:space="preserve">Closest geospatial peer</t>
  </si>
  <si>
    <t xml:space="preserve">AGCO</t>
  </si>
  <si>
    <t xml:space="preserve">Ag/precision, cyclical</t>
  </si>
  <si>
    <t xml:space="preserve">Topcon</t>
  </si>
  <si>
    <t xml:space="preserve">7732.T</t>
  </si>
  <si>
    <t xml:space="preserve">Positioning/medical</t>
  </si>
  <si>
    <t xml:space="preserve">Bentley Systems</t>
  </si>
  <si>
    <t xml:space="preserve">BSY</t>
  </si>
  <si>
    <t xml:space="preserve">Infra software pure-play</t>
  </si>
  <si>
    <t xml:space="preserve">Autodesk</t>
  </si>
  <si>
    <t xml:space="preserve">ADSK</t>
  </si>
  <si>
    <t xml:space="preserve">Design software</t>
  </si>
  <si>
    <t xml:space="preserve">Zebra Tech</t>
  </si>
  <si>
    <t xml:space="preserve">ZBRA</t>
  </si>
  <si>
    <t xml:space="preserve">Enterprise HW+SW</t>
  </si>
  <si>
    <t xml:space="preserve">TRMB trades at a discount to software-pure peers (BSY/ADSK) despite 78% recurring revenue; closer to hardware-blend peers.</t>
  </si>
  <si>
    <t xml:space="preserve">TRMB — OPTIONS STRATEGY OVERLAY (Long-Equity Initiation)</t>
  </si>
  <si>
    <t xml:space="preserve">Market Reference</t>
  </si>
  <si>
    <t xml:space="preserve">DCF Base Intrinsic</t>
  </si>
  <si>
    <t xml:space="preserve">DCF Bear</t>
  </si>
  <si>
    <t xml:space="preserve">52-wk Low / High</t>
  </si>
  <si>
    <t xml:space="preserve">$49.43 / $87.50</t>
  </si>
  <si>
    <t xml:space="preserve">Recommended Structures (elevated IV → favor SELLING premium to enter)</t>
  </si>
  <si>
    <t xml:space="preserve">Strategy</t>
  </si>
  <si>
    <t xml:space="preserve">Structure</t>
  </si>
  <si>
    <t xml:space="preserve">Est. Prem/Debit</t>
  </si>
  <si>
    <t xml:space="preserve">Max Gain</t>
  </si>
  <si>
    <t xml:space="preserve">Max Loss</t>
  </si>
  <si>
    <t xml:space="preserve">Rationale</t>
  </si>
  <si>
    <t xml:space="preserve">Cash-Secured Put (initiate)</t>
  </si>
  <si>
    <t xml:space="preserve">Sell $45 put, ~60 DTE</t>
  </si>
  <si>
    <t xml:space="preserve">~$2.00 cr ($200)</t>
  </si>
  <si>
    <t xml:space="preserve">$200 (4.4%/cycle)</t>
  </si>
  <si>
    <t xml:space="preserve">$4,300 if→0</t>
  </si>
  <si>
    <t xml:space="preserve">High IV pays you to wait; net entry ~$43 vs DCF base $72</t>
  </si>
  <si>
    <t xml:space="preserve">CSP — deeper/safer</t>
  </si>
  <si>
    <t xml:space="preserve">Sell $42.50 put, ~60 DTE</t>
  </si>
  <si>
    <t xml:space="preserve">~$1.40 cr ($140)</t>
  </si>
  <si>
    <t xml:space="preserve">$140 (3.3%/cycle)</t>
  </si>
  <si>
    <t xml:space="preserve">$4,110</t>
  </si>
  <si>
    <t xml:space="preserve">Below 52-wk low entry; collect premium during downtrend</t>
  </si>
  <si>
    <t xml:space="preserve">Long LEAP (leveraged)</t>
  </si>
  <si>
    <t xml:space="preserve">Buy $50 call, Jan-2027</t>
  </si>
  <si>
    <t xml:space="preserve">~$6.50 debit ($650)</t>
  </si>
  <si>
    <t xml:space="preserve">Unbounded</t>
  </si>
  <si>
    <t xml:space="preserve">$650</t>
  </si>
  <si>
    <t xml:space="preserve">Multi-quarter re-rate to DCF base $72; time the thesis</t>
  </si>
  <si>
    <t xml:space="preserve">Covered Call (post-assign)</t>
  </si>
  <si>
    <t xml:space="preserve">Sell $60 call, ~45 DTE</t>
  </si>
  <si>
    <t xml:space="preserve">prem + to $60</t>
  </si>
  <si>
    <t xml:space="preserve">capped @ $60</t>
  </si>
  <si>
    <t xml:space="preserve">own shares</t>
  </si>
  <si>
    <t xml:space="preserve">Harvest IV above cost once long shares</t>
  </si>
  <si>
    <t xml:space="preserve">Per-cycle yields, NOT annualized. Size so the bear-case ($36) outcome does not cause unacceptable portfolio loss. Not financial advice.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</si>
</sst>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#,##0"/>
    <numFmt numFmtId="167" formatCode="\$#,##0;&quot;($&quot;#,##0\);\-"/>
    <numFmt numFmtId="168" formatCode="0.0%;\(0.0%\);\-"/>
    <numFmt numFmtId="169" formatCode="\$#,##0.00\B"/>
    <numFmt numFmtId="170" formatCode="0.0\x"/>
    <numFmt numFmtId="171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Inter"/>
      <family val="0"/>
      <charset val="1"/>
    </font>
    <font>
      <i val="true"/>
      <sz val="9"/>
      <color rgb="FFFFFFFF"/>
      <name val="Inter"/>
      <family val="0"/>
      <charset val="1"/>
    </font>
    <font>
      <b val="true"/>
      <sz val="11"/>
      <color rgb="FFFFFFFF"/>
      <name val="Inter"/>
      <family val="0"/>
      <charset val="1"/>
    </font>
    <font>
      <sz val="10"/>
      <color rgb="FF000000"/>
      <name val="Inter"/>
      <family val="0"/>
      <charset val="1"/>
    </font>
    <font>
      <sz val="10"/>
      <color rgb="FF0000FF"/>
      <name val="Inter"/>
      <family val="0"/>
      <charset val="1"/>
    </font>
    <font>
      <b val="true"/>
      <sz val="10"/>
      <color rgb="FF2C7A6B"/>
      <name val="Inter"/>
      <family val="0"/>
      <charset val="1"/>
    </font>
    <font>
      <b val="true"/>
      <sz val="10"/>
      <color rgb="FFFFFFFF"/>
      <name val="Inter"/>
      <family val="0"/>
      <charset val="1"/>
    </font>
    <font>
      <b val="true"/>
      <sz val="10"/>
      <color rgb="FF008000"/>
      <name val="Inter"/>
      <family val="0"/>
      <charset val="1"/>
    </font>
    <font>
      <i val="true"/>
      <sz val="8"/>
      <color rgb="FF808080"/>
      <name val="Inter"/>
      <family val="0"/>
      <charset val="1"/>
    </font>
    <font>
      <sz val="10"/>
      <name val="Arial"/>
      <family val="2"/>
    </font>
    <font>
      <b val="true"/>
      <sz val="10"/>
      <color rgb="FF000000"/>
      <name val="Inter"/>
      <family val="0"/>
      <charset val="1"/>
    </font>
    <font>
      <sz val="10"/>
      <color rgb="FF008000"/>
      <name val="Inter"/>
      <family val="0"/>
      <charset val="1"/>
    </font>
    <font>
      <sz val="10"/>
      <color rgb="FFC0392B"/>
      <name val="Inter"/>
      <family val="0"/>
      <charset val="1"/>
    </font>
    <font>
      <sz val="9"/>
      <color rgb="FF000000"/>
      <name val="Inter"/>
      <family val="0"/>
      <charset val="1"/>
    </font>
    <font>
      <sz val="10"/>
      <color rgb="FF2C7A6B"/>
      <name val="Inter"/>
      <family val="0"/>
      <charset val="1"/>
    </font>
    <font>
      <b val="true"/>
      <sz val="9"/>
      <color rgb="FFC0392B"/>
      <name val="Inter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B4C7E"/>
        <bgColor rgb="FF003366"/>
      </patternFill>
    </fill>
    <fill>
      <patternFill patternType="solid">
        <fgColor rgb="FF2C7A6B"/>
        <bgColor rgb="FF1E8449"/>
      </patternFill>
    </fill>
    <fill>
      <patternFill patternType="solid">
        <fgColor rgb="FFC0392B"/>
        <bgColor rgb="FF993366"/>
      </patternFill>
    </fill>
    <fill>
      <patternFill patternType="solid">
        <fgColor rgb="FF1E8449"/>
        <bgColor rgb="FF2C7A6B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7A6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C0392B"/>
      <rgbColor rgb="FF993366"/>
      <rgbColor rgb="FF2B4C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5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n">
        <f aca="false">Model!B4</f>
        <v>50</v>
      </c>
    </row>
    <row r="6" customFormat="false" ht="15" hidden="false" customHeight="true" outlineLevel="0" collapsed="false">
      <c r="A6" s="5" t="s">
        <v>4</v>
      </c>
      <c r="B6" s="7" t="n">
        <f aca="false">Model!B5</f>
        <v>235</v>
      </c>
    </row>
    <row r="7" customFormat="false" ht="15" hidden="false" customHeight="true" outlineLevel="0" collapsed="false">
      <c r="A7" s="5" t="s">
        <v>5</v>
      </c>
      <c r="B7" s="8" t="n">
        <f aca="false">B5*B6</f>
        <v>11750</v>
      </c>
    </row>
    <row r="8" customFormat="false" ht="15" hidden="false" customHeight="true" outlineLevel="0" collapsed="false">
      <c r="A8" s="5" t="s">
        <v>6</v>
      </c>
      <c r="B8" s="9" t="n">
        <f aca="false">Model!B6</f>
        <v>234.1</v>
      </c>
    </row>
    <row r="9" customFormat="false" ht="15" hidden="false" customHeight="true" outlineLevel="0" collapsed="false">
      <c r="A9" s="5" t="s">
        <v>7</v>
      </c>
      <c r="B9" s="9" t="n">
        <f aca="false">Model!B7</f>
        <v>1412.8</v>
      </c>
    </row>
    <row r="10" customFormat="false" ht="15" hidden="false" customHeight="true" outlineLevel="0" collapsed="false">
      <c r="A10" s="5" t="s">
        <v>8</v>
      </c>
      <c r="B10" s="8" t="n">
        <f aca="false">B9-B8</f>
        <v>1178.7</v>
      </c>
    </row>
    <row r="11" customFormat="false" ht="15" hidden="false" customHeight="true" outlineLevel="0" collapsed="false">
      <c r="A11" s="5" t="s">
        <v>9</v>
      </c>
      <c r="B11" s="8" t="n">
        <f aca="false">B7+B10</f>
        <v>12928.7</v>
      </c>
    </row>
    <row r="13" customFormat="false" ht="19.5" hidden="false" customHeight="true" outlineLevel="0" collapsed="false">
      <c r="A13" s="4" t="s">
        <v>10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5" t="s">
        <v>11</v>
      </c>
      <c r="B14" s="9" t="n">
        <v>939.9</v>
      </c>
    </row>
    <row r="15" customFormat="false" ht="15" hidden="false" customHeight="true" outlineLevel="0" collapsed="false">
      <c r="A15" s="5" t="s">
        <v>12</v>
      </c>
      <c r="B15" s="10" t="n">
        <v>0.12</v>
      </c>
    </row>
    <row r="16" customFormat="false" ht="15" hidden="false" customHeight="true" outlineLevel="0" collapsed="false">
      <c r="A16" s="5" t="s">
        <v>13</v>
      </c>
      <c r="B16" s="11" t="n">
        <v>2.435</v>
      </c>
    </row>
    <row r="17" customFormat="false" ht="15" hidden="false" customHeight="true" outlineLevel="0" collapsed="false">
      <c r="A17" s="5" t="s">
        <v>14</v>
      </c>
      <c r="B17" s="10" t="n">
        <v>0.78</v>
      </c>
    </row>
    <row r="18" customFormat="false" ht="15" hidden="false" customHeight="true" outlineLevel="0" collapsed="false">
      <c r="A18" s="5" t="s">
        <v>15</v>
      </c>
      <c r="B18" s="10" t="n">
        <v>0.71</v>
      </c>
    </row>
    <row r="19" customFormat="false" ht="15" hidden="false" customHeight="true" outlineLevel="0" collapsed="false">
      <c r="A19" s="5" t="s">
        <v>16</v>
      </c>
      <c r="B19" s="10" t="n">
        <v>0.259</v>
      </c>
    </row>
    <row r="20" customFormat="false" ht="15" hidden="false" customHeight="true" outlineLevel="0" collapsed="false">
      <c r="A20" s="5" t="s">
        <v>17</v>
      </c>
      <c r="B20" s="10" t="n">
        <v>0.274</v>
      </c>
    </row>
    <row r="21" customFormat="false" ht="15" hidden="false" customHeight="true" outlineLevel="0" collapsed="false">
      <c r="A21" s="5" t="s">
        <v>18</v>
      </c>
      <c r="B21" s="6" t="n">
        <v>3.555</v>
      </c>
    </row>
    <row r="23" customFormat="false" ht="19.5" hidden="false" customHeight="true" outlineLevel="0" collapsed="false">
      <c r="A23" s="4" t="s">
        <v>19</v>
      </c>
      <c r="B23" s="4"/>
      <c r="C23" s="4"/>
      <c r="D23" s="4"/>
      <c r="E23" s="4"/>
      <c r="F23" s="4"/>
    </row>
    <row r="24" customFormat="false" ht="15" hidden="false" customHeight="true" outlineLevel="0" collapsed="false">
      <c r="A24" s="5" t="s">
        <v>20</v>
      </c>
      <c r="B24" s="12" t="n">
        <f aca="false">B11/Model!B52</f>
        <v>3.33902376033058</v>
      </c>
    </row>
    <row r="25" customFormat="false" ht="15" hidden="false" customHeight="true" outlineLevel="0" collapsed="false">
      <c r="A25" s="5" t="s">
        <v>21</v>
      </c>
      <c r="B25" s="12" t="n">
        <f aca="false">B5/B21</f>
        <v>14.0646976090014</v>
      </c>
    </row>
    <row r="26" customFormat="false" ht="15" hidden="false" customHeight="true" outlineLevel="0" collapsed="false">
      <c r="A26" s="5" t="s">
        <v>22</v>
      </c>
      <c r="B26" s="12" t="n">
        <f aca="false">B11/(Model!B52*0.274)</f>
        <v>12.1862181033963</v>
      </c>
    </row>
    <row r="27" customFormat="false" ht="15" hidden="false" customHeight="true" outlineLevel="0" collapsed="false">
      <c r="A27" s="5" t="s">
        <v>23</v>
      </c>
      <c r="B27" s="13" t="n">
        <f aca="false">Model!B53/B7</f>
        <v>0.0560204255319149</v>
      </c>
    </row>
    <row r="29" customFormat="false" ht="19.5" hidden="false" customHeight="true" outlineLevel="0" collapsed="false">
      <c r="A29" s="4" t="s">
        <v>24</v>
      </c>
      <c r="B29" s="4"/>
      <c r="C29" s="4"/>
      <c r="D29" s="4"/>
      <c r="E29" s="4"/>
      <c r="F29" s="4"/>
    </row>
    <row r="30" customFormat="false" ht="15" hidden="false" customHeight="true" outlineLevel="0" collapsed="false">
      <c r="A30" s="5" t="s">
        <v>25</v>
      </c>
      <c r="B30" s="14" t="n">
        <f aca="false">0.12+0.259</f>
        <v>0.379</v>
      </c>
    </row>
    <row r="31" customFormat="false" ht="15" hidden="false" customHeight="true" outlineLevel="0" collapsed="false">
      <c r="A31" s="5" t="s">
        <v>26</v>
      </c>
      <c r="B31" s="14" t="n">
        <f aca="false">0.1+Model!B54</f>
        <v>0.27</v>
      </c>
    </row>
    <row r="33" customFormat="false" ht="19.5" hidden="false" customHeight="true" outlineLevel="0" collapsed="false">
      <c r="A33" s="4" t="s">
        <v>27</v>
      </c>
      <c r="B33" s="4"/>
      <c r="C33" s="4"/>
      <c r="D33" s="4"/>
      <c r="E33" s="4"/>
      <c r="F33" s="4"/>
    </row>
    <row r="34" customFormat="false" ht="15" hidden="false" customHeight="true" outlineLevel="0" collapsed="false">
      <c r="A34" s="15" t="s">
        <v>28</v>
      </c>
      <c r="B34" s="16" t="s">
        <v>29</v>
      </c>
      <c r="C34" s="16" t="s">
        <v>30</v>
      </c>
      <c r="D34" s="16" t="s">
        <v>31</v>
      </c>
    </row>
    <row r="35" customFormat="false" ht="15" hidden="false" customHeight="true" outlineLevel="0" collapsed="false">
      <c r="A35" s="5" t="s">
        <v>32</v>
      </c>
      <c r="B35" s="17" t="n">
        <f aca="false">Model!B47</f>
        <v>35.9700073536977</v>
      </c>
      <c r="C35" s="17" t="n">
        <f aca="false">Model!C47</f>
        <v>72.1082181707693</v>
      </c>
      <c r="D35" s="17" t="n">
        <f aca="false">Model!D47</f>
        <v>96.7533863129605</v>
      </c>
    </row>
    <row r="36" customFormat="false" ht="15" hidden="false" customHeight="true" outlineLevel="0" collapsed="false">
      <c r="A36" s="5" t="s">
        <v>33</v>
      </c>
      <c r="B36" s="18" t="n">
        <f aca="false">B35/$B$5-1</f>
        <v>-0.280599852926045</v>
      </c>
      <c r="C36" s="18" t="n">
        <f aca="false">C35/$B$5-1</f>
        <v>0.442164363415386</v>
      </c>
      <c r="D36" s="18" t="n">
        <f aca="false">D35/$B$5-1</f>
        <v>0.935067726259209</v>
      </c>
    </row>
    <row r="38" customFormat="false" ht="19.5" hidden="false" customHeight="true" outlineLevel="0" collapsed="false">
      <c r="A38" s="4" t="s">
        <v>34</v>
      </c>
      <c r="B38" s="4"/>
      <c r="C38" s="4"/>
      <c r="D38" s="4"/>
      <c r="E38" s="4"/>
      <c r="F38" s="4"/>
    </row>
    <row r="39" customFormat="false" ht="15" hidden="false" customHeight="true" outlineLevel="0" collapsed="false">
      <c r="A39" s="5" t="s">
        <v>35</v>
      </c>
      <c r="B39" s="6" t="n">
        <v>87.5</v>
      </c>
    </row>
    <row r="40" customFormat="false" ht="15" hidden="false" customHeight="true" outlineLevel="0" collapsed="false">
      <c r="A40" s="5" t="s">
        <v>36</v>
      </c>
      <c r="B40" s="6" t="n">
        <v>49.43</v>
      </c>
    </row>
    <row r="41" customFormat="false" ht="15" hidden="false" customHeight="true" outlineLevel="0" collapsed="false">
      <c r="A41" s="5" t="s">
        <v>37</v>
      </c>
      <c r="B41" s="6" t="n">
        <v>62</v>
      </c>
    </row>
    <row r="42" customFormat="false" ht="15" hidden="false" customHeight="true" outlineLevel="0" collapsed="false">
      <c r="A42" s="5" t="s">
        <v>38</v>
      </c>
      <c r="B42" s="6" t="n">
        <v>73</v>
      </c>
    </row>
    <row r="43" customFormat="false" ht="15" hidden="false" customHeight="true" outlineLevel="0" collapsed="false">
      <c r="A43" s="5" t="s">
        <v>39</v>
      </c>
      <c r="B43" s="19" t="n">
        <v>26</v>
      </c>
    </row>
    <row r="44" customFormat="false" ht="15" hidden="false" customHeight="true" outlineLevel="0" collapsed="false">
      <c r="A44" s="5" t="s">
        <v>40</v>
      </c>
      <c r="B44" s="10" t="n">
        <v>0.72</v>
      </c>
    </row>
    <row r="45" customFormat="false" ht="15" hidden="false" customHeight="true" outlineLevel="0" collapsed="false">
      <c r="A45" s="20" t="s">
        <v>41</v>
      </c>
    </row>
  </sheetData>
  <mergeCells count="8">
    <mergeCell ref="A1:F1"/>
    <mergeCell ref="A2:F2"/>
    <mergeCell ref="A4:F4"/>
    <mergeCell ref="A13:F13"/>
    <mergeCell ref="A23:F23"/>
    <mergeCell ref="A29:F29"/>
    <mergeCell ref="A33:F33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3"/>
  </cols>
  <sheetData>
    <row r="1" customFormat="false" ht="25.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5" t="s">
        <v>43</v>
      </c>
      <c r="B4" s="6" t="n">
        <v>50</v>
      </c>
    </row>
    <row r="5" customFormat="false" ht="15" hidden="false" customHeight="true" outlineLevel="0" collapsed="false">
      <c r="A5" s="5" t="s">
        <v>4</v>
      </c>
      <c r="B5" s="7" t="n">
        <v>235</v>
      </c>
    </row>
    <row r="6" customFormat="false" ht="15" hidden="false" customHeight="true" outlineLevel="0" collapsed="false">
      <c r="A6" s="5" t="s">
        <v>6</v>
      </c>
      <c r="B6" s="9" t="n">
        <v>234.1</v>
      </c>
    </row>
    <row r="7" customFormat="false" ht="15" hidden="false" customHeight="true" outlineLevel="0" collapsed="false">
      <c r="A7" s="5" t="s">
        <v>7</v>
      </c>
      <c r="B7" s="9" t="n">
        <v>1412.8</v>
      </c>
    </row>
    <row r="8" customFormat="false" ht="15" hidden="false" customHeight="true" outlineLevel="0" collapsed="false">
      <c r="A8" s="5" t="s">
        <v>8</v>
      </c>
      <c r="B8" s="8" t="n">
        <f aca="false">B7-B6</f>
        <v>1178.7</v>
      </c>
    </row>
    <row r="9" customFormat="false" ht="15" hidden="false" customHeight="true" outlineLevel="0" collapsed="false">
      <c r="A9" s="5" t="s">
        <v>44</v>
      </c>
      <c r="B9" s="10" t="n">
        <v>0.095</v>
      </c>
    </row>
    <row r="10" customFormat="false" ht="15" hidden="false" customHeight="true" outlineLevel="0" collapsed="false">
      <c r="A10" s="5" t="s">
        <v>45</v>
      </c>
      <c r="B10" s="9" t="n">
        <v>3520</v>
      </c>
    </row>
    <row r="11" customFormat="false" ht="15" hidden="false" customHeight="true" outlineLevel="0" collapsed="false">
      <c r="A11" s="5" t="s">
        <v>46</v>
      </c>
      <c r="B11" s="9" t="n">
        <v>3875</v>
      </c>
    </row>
    <row r="13" customFormat="false" ht="19.5" hidden="false" customHeight="true" outlineLevel="0" collapsed="false">
      <c r="A13" s="4" t="s">
        <v>47</v>
      </c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21" t="s">
        <v>48</v>
      </c>
      <c r="B14" s="22" t="s">
        <v>29</v>
      </c>
      <c r="C14" s="23" t="s">
        <v>30</v>
      </c>
      <c r="D14" s="24" t="s">
        <v>31</v>
      </c>
    </row>
    <row r="15" customFormat="false" ht="15" hidden="false" customHeight="true" outlineLevel="0" collapsed="false">
      <c r="A15" s="5" t="s">
        <v>49</v>
      </c>
      <c r="B15" s="25" t="n">
        <v>0.07</v>
      </c>
      <c r="C15" s="25" t="n">
        <v>0.1</v>
      </c>
      <c r="D15" s="25" t="n">
        <v>0.11</v>
      </c>
    </row>
    <row r="16" customFormat="false" ht="15" hidden="false" customHeight="true" outlineLevel="0" collapsed="false">
      <c r="A16" s="5" t="s">
        <v>50</v>
      </c>
      <c r="B16" s="25" t="n">
        <v>0.05</v>
      </c>
      <c r="C16" s="25" t="n">
        <v>0.09</v>
      </c>
      <c r="D16" s="25" t="n">
        <v>0.11</v>
      </c>
    </row>
    <row r="17" customFormat="false" ht="15" hidden="false" customHeight="true" outlineLevel="0" collapsed="false">
      <c r="A17" s="5" t="s">
        <v>51</v>
      </c>
      <c r="B17" s="25" t="n">
        <v>0.04</v>
      </c>
      <c r="C17" s="25" t="n">
        <v>0.08</v>
      </c>
      <c r="D17" s="25" t="n">
        <v>0.1</v>
      </c>
    </row>
    <row r="18" customFormat="false" ht="15" hidden="false" customHeight="true" outlineLevel="0" collapsed="false">
      <c r="A18" s="5" t="s">
        <v>52</v>
      </c>
      <c r="B18" s="25" t="n">
        <v>0.04</v>
      </c>
      <c r="C18" s="25" t="n">
        <v>0.08</v>
      </c>
      <c r="D18" s="25" t="n">
        <v>0.1</v>
      </c>
    </row>
    <row r="19" customFormat="false" ht="15" hidden="false" customHeight="true" outlineLevel="0" collapsed="false">
      <c r="A19" s="5" t="s">
        <v>53</v>
      </c>
      <c r="B19" s="25" t="n">
        <v>0.03</v>
      </c>
      <c r="C19" s="25" t="n">
        <v>0.07</v>
      </c>
      <c r="D19" s="25" t="n">
        <v>0.09</v>
      </c>
    </row>
    <row r="20" customFormat="false" ht="15" hidden="false" customHeight="true" outlineLevel="0" collapsed="false">
      <c r="A20" s="5" t="s">
        <v>54</v>
      </c>
      <c r="B20" s="25" t="n">
        <v>0.15</v>
      </c>
      <c r="C20" s="25" t="n">
        <v>0.17</v>
      </c>
      <c r="D20" s="25" t="n">
        <v>0.18</v>
      </c>
    </row>
    <row r="21" customFormat="false" ht="15" hidden="false" customHeight="true" outlineLevel="0" collapsed="false">
      <c r="A21" s="5" t="s">
        <v>55</v>
      </c>
      <c r="B21" s="25" t="n">
        <v>0.155</v>
      </c>
      <c r="C21" s="25" t="n">
        <v>0.185</v>
      </c>
      <c r="D21" s="25" t="n">
        <v>0.2</v>
      </c>
    </row>
    <row r="22" customFormat="false" ht="15" hidden="false" customHeight="true" outlineLevel="0" collapsed="false">
      <c r="A22" s="5" t="s">
        <v>56</v>
      </c>
      <c r="B22" s="25" t="n">
        <v>0.16</v>
      </c>
      <c r="C22" s="25" t="n">
        <v>0.2</v>
      </c>
      <c r="D22" s="25" t="n">
        <v>0.22</v>
      </c>
    </row>
    <row r="23" customFormat="false" ht="15" hidden="false" customHeight="true" outlineLevel="0" collapsed="false">
      <c r="A23" s="5" t="s">
        <v>57</v>
      </c>
      <c r="B23" s="25" t="n">
        <v>0.165</v>
      </c>
      <c r="C23" s="25" t="n">
        <v>0.21</v>
      </c>
      <c r="D23" s="25" t="n">
        <v>0.235</v>
      </c>
    </row>
    <row r="24" customFormat="false" ht="15" hidden="false" customHeight="true" outlineLevel="0" collapsed="false">
      <c r="A24" s="5" t="s">
        <v>58</v>
      </c>
      <c r="B24" s="25" t="n">
        <v>0.17</v>
      </c>
      <c r="C24" s="25" t="n">
        <v>0.22</v>
      </c>
      <c r="D24" s="25" t="n">
        <v>0.25</v>
      </c>
    </row>
    <row r="25" customFormat="false" ht="15" hidden="false" customHeight="true" outlineLevel="0" collapsed="false">
      <c r="A25" s="5" t="s">
        <v>59</v>
      </c>
      <c r="B25" s="26" t="n">
        <v>15</v>
      </c>
      <c r="C25" s="26" t="n">
        <v>20</v>
      </c>
      <c r="D25" s="26" t="n">
        <v>22</v>
      </c>
    </row>
    <row r="26" customFormat="false" ht="15" hidden="false" customHeight="true" outlineLevel="0" collapsed="false">
      <c r="A26" s="5" t="s">
        <v>60</v>
      </c>
      <c r="B26" s="25" t="n">
        <v>0.025</v>
      </c>
      <c r="C26" s="25" t="n">
        <v>0.035</v>
      </c>
      <c r="D26" s="25" t="n">
        <v>0.04</v>
      </c>
    </row>
    <row r="28" customFormat="false" ht="19.5" hidden="false" customHeight="true" outlineLevel="0" collapsed="false">
      <c r="A28" s="4" t="s">
        <v>61</v>
      </c>
      <c r="B28" s="4"/>
      <c r="C28" s="4"/>
      <c r="D28" s="4"/>
      <c r="E28" s="4"/>
      <c r="F28" s="4"/>
      <c r="G28" s="4"/>
      <c r="H28" s="4"/>
    </row>
    <row r="29" customFormat="false" ht="15" hidden="false" customHeight="true" outlineLevel="0" collapsed="false">
      <c r="A29" s="27" t="s">
        <v>28</v>
      </c>
      <c r="B29" s="16" t="s">
        <v>62</v>
      </c>
      <c r="C29" s="16" t="s">
        <v>63</v>
      </c>
      <c r="D29" s="16" t="s">
        <v>64</v>
      </c>
      <c r="E29" s="16" t="s">
        <v>65</v>
      </c>
      <c r="F29" s="16" t="s">
        <v>66</v>
      </c>
    </row>
    <row r="30" customFormat="false" ht="15" hidden="false" customHeight="true" outlineLevel="0" collapsed="false">
      <c r="A30" s="5" t="s">
        <v>29</v>
      </c>
      <c r="B30" s="8" t="n">
        <f aca="false">$B$10*(1+B15)</f>
        <v>3766.4</v>
      </c>
      <c r="C30" s="8" t="n">
        <f aca="false">B30*(1+B16)</f>
        <v>3954.72</v>
      </c>
      <c r="D30" s="8" t="n">
        <f aca="false">C30*(1+B17)</f>
        <v>4112.9088</v>
      </c>
      <c r="E30" s="8" t="n">
        <f aca="false">D30*(1+B18)</f>
        <v>4277.425152</v>
      </c>
      <c r="F30" s="8" t="n">
        <f aca="false">E30*(1+B19)</f>
        <v>4405.74790656</v>
      </c>
    </row>
    <row r="31" customFormat="false" ht="15" hidden="false" customHeight="true" outlineLevel="0" collapsed="false">
      <c r="A31" s="5" t="s">
        <v>30</v>
      </c>
      <c r="B31" s="8" t="n">
        <f aca="false">$B$10*(1+C15)</f>
        <v>3872</v>
      </c>
      <c r="C31" s="8" t="n">
        <f aca="false">B31*(1+C16)</f>
        <v>4220.48</v>
      </c>
      <c r="D31" s="8" t="n">
        <f aca="false">C31*(1+C17)</f>
        <v>4558.1184</v>
      </c>
      <c r="E31" s="8" t="n">
        <f aca="false">D31*(1+C18)</f>
        <v>4922.767872</v>
      </c>
      <c r="F31" s="8" t="n">
        <f aca="false">E31*(1+C19)</f>
        <v>5267.36162304</v>
      </c>
    </row>
    <row r="32" customFormat="false" ht="15" hidden="false" customHeight="true" outlineLevel="0" collapsed="false">
      <c r="A32" s="5" t="s">
        <v>31</v>
      </c>
      <c r="B32" s="8" t="n">
        <f aca="false">$B$10*(1+D15)</f>
        <v>3907.2</v>
      </c>
      <c r="C32" s="8" t="n">
        <f aca="false">B32*(1+D16)</f>
        <v>4336.992</v>
      </c>
      <c r="D32" s="8" t="n">
        <f aca="false">C32*(1+D17)</f>
        <v>4770.6912</v>
      </c>
      <c r="E32" s="8" t="n">
        <f aca="false">D32*(1+D18)</f>
        <v>5247.76032</v>
      </c>
      <c r="F32" s="8" t="n">
        <f aca="false">E32*(1+D19)</f>
        <v>5720.0587488</v>
      </c>
    </row>
    <row r="34" customFormat="false" ht="19.5" hidden="false" customHeight="true" outlineLevel="0" collapsed="false">
      <c r="A34" s="4" t="s">
        <v>67</v>
      </c>
      <c r="B34" s="4"/>
      <c r="C34" s="4"/>
      <c r="D34" s="4"/>
      <c r="E34" s="4"/>
      <c r="F34" s="4"/>
      <c r="G34" s="4"/>
      <c r="H34" s="4"/>
    </row>
    <row r="35" customFormat="false" ht="15" hidden="false" customHeight="true" outlineLevel="0" collapsed="false">
      <c r="A35" s="27" t="s">
        <v>28</v>
      </c>
      <c r="B35" s="16" t="s">
        <v>62</v>
      </c>
      <c r="C35" s="16" t="s">
        <v>63</v>
      </c>
      <c r="D35" s="16" t="s">
        <v>64</v>
      </c>
      <c r="E35" s="16" t="s">
        <v>65</v>
      </c>
      <c r="F35" s="16" t="s">
        <v>66</v>
      </c>
    </row>
    <row r="36" customFormat="false" ht="15" hidden="false" customHeight="true" outlineLevel="0" collapsed="false">
      <c r="A36" s="5" t="s">
        <v>29</v>
      </c>
      <c r="B36" s="8" t="n">
        <f aca="false">B30*B20</f>
        <v>564.96</v>
      </c>
      <c r="C36" s="8" t="n">
        <f aca="false">C30*B21</f>
        <v>612.9816</v>
      </c>
      <c r="D36" s="8" t="n">
        <f aca="false">D30*B22</f>
        <v>658.065408</v>
      </c>
      <c r="E36" s="8" t="n">
        <f aca="false">E30*B23</f>
        <v>705.77515008</v>
      </c>
      <c r="F36" s="8" t="n">
        <f aca="false">F30*B24</f>
        <v>748.9771441152</v>
      </c>
    </row>
    <row r="37" customFormat="false" ht="15" hidden="false" customHeight="true" outlineLevel="0" collapsed="false">
      <c r="A37" s="5" t="s">
        <v>30</v>
      </c>
      <c r="B37" s="8" t="n">
        <f aca="false">B31*C20</f>
        <v>658.24</v>
      </c>
      <c r="C37" s="8" t="n">
        <f aca="false">C31*C21</f>
        <v>780.7888</v>
      </c>
      <c r="D37" s="8" t="n">
        <f aca="false">D31*C22</f>
        <v>911.62368</v>
      </c>
      <c r="E37" s="8" t="n">
        <f aca="false">E31*C23</f>
        <v>1033.78125312</v>
      </c>
      <c r="F37" s="8" t="n">
        <f aca="false">F31*C24</f>
        <v>1158.8195570688</v>
      </c>
    </row>
    <row r="38" customFormat="false" ht="15" hidden="false" customHeight="true" outlineLevel="0" collapsed="false">
      <c r="A38" s="5" t="s">
        <v>31</v>
      </c>
      <c r="B38" s="8" t="n">
        <f aca="false">B32*D20</f>
        <v>703.296</v>
      </c>
      <c r="C38" s="8" t="n">
        <f aca="false">C32*D21</f>
        <v>867.3984</v>
      </c>
      <c r="D38" s="8" t="n">
        <f aca="false">D32*D22</f>
        <v>1049.552064</v>
      </c>
      <c r="E38" s="8" t="n">
        <f aca="false">E32*D23</f>
        <v>1233.2236752</v>
      </c>
      <c r="F38" s="8" t="n">
        <f aca="false">F32*D24</f>
        <v>1430.0146872</v>
      </c>
    </row>
    <row r="40" customFormat="false" ht="19.5" hidden="false" customHeight="true" outlineLevel="0" collapsed="false">
      <c r="A40" s="4" t="s">
        <v>68</v>
      </c>
      <c r="B40" s="4"/>
      <c r="C40" s="4"/>
      <c r="D40" s="4"/>
      <c r="E40" s="4"/>
      <c r="F40" s="4"/>
      <c r="G40" s="4"/>
      <c r="H40" s="4"/>
    </row>
    <row r="41" customFormat="false" ht="15" hidden="false" customHeight="true" outlineLevel="0" collapsed="false">
      <c r="A41" s="21" t="s">
        <v>69</v>
      </c>
      <c r="B41" s="22" t="s">
        <v>29</v>
      </c>
      <c r="C41" s="23" t="s">
        <v>30</v>
      </c>
      <c r="D41" s="24" t="s">
        <v>31</v>
      </c>
    </row>
    <row r="42" customFormat="false" ht="15" hidden="false" customHeight="true" outlineLevel="0" collapsed="false">
      <c r="A42" s="5" t="s">
        <v>70</v>
      </c>
      <c r="B42" s="28" t="n">
        <f aca="false">B36/(1+$B$9)^1+C36/(1+$B$9)^2+D36/(1+$B$9)^3+E36/(1+$B$9)^4+F36/(1+$B$9)^5</f>
        <v>2495.08668903235</v>
      </c>
      <c r="C42" s="28" t="n">
        <f aca="false">B37/(1+$B$9)^1+C37/(1+$B$9)^2+D37/(1+$B$9)^3+E37/(1+$B$9)^4+F37/(1+$B$9)^5</f>
        <v>3401.84643573528</v>
      </c>
      <c r="D42" s="28" t="n">
        <f aca="false">B38/(1+$B$9)^1+C38/(1+$B$9)^2+D38/(1+$B$9)^3+E38/(1+$B$9)^4+F38/(1+$B$9)^5</f>
        <v>3931.2781800315</v>
      </c>
    </row>
    <row r="43" customFormat="false" ht="15" hidden="false" customHeight="true" outlineLevel="0" collapsed="false">
      <c r="A43" s="5" t="s">
        <v>71</v>
      </c>
      <c r="B43" s="28" t="n">
        <f aca="false">F36*B25</f>
        <v>11234.657161728</v>
      </c>
      <c r="C43" s="28" t="n">
        <f aca="false">F37*C25</f>
        <v>23176.391141376</v>
      </c>
      <c r="D43" s="28" t="n">
        <f aca="false">F38*D25</f>
        <v>31460.3231184</v>
      </c>
    </row>
    <row r="44" customFormat="false" ht="15" hidden="false" customHeight="true" outlineLevel="0" collapsed="false">
      <c r="A44" s="5" t="s">
        <v>72</v>
      </c>
      <c r="B44" s="28" t="n">
        <f aca="false">B43/(1+$B$9)^5</f>
        <v>7136.56503908662</v>
      </c>
      <c r="C44" s="28" t="n">
        <f aca="false">C43/(1+$B$9)^5</f>
        <v>14722.2848343955</v>
      </c>
      <c r="D44" s="28" t="n">
        <f aca="false">D43/(1+$B$9)^5</f>
        <v>19984.4676035142</v>
      </c>
    </row>
    <row r="45" customFormat="false" ht="15" hidden="false" customHeight="true" outlineLevel="0" collapsed="false">
      <c r="A45" s="27" t="s">
        <v>9</v>
      </c>
      <c r="B45" s="29" t="n">
        <f aca="false">B42+B44</f>
        <v>9631.65172811897</v>
      </c>
      <c r="C45" s="29" t="n">
        <f aca="false">C42+C44</f>
        <v>18124.1312701308</v>
      </c>
      <c r="D45" s="29" t="n">
        <f aca="false">D42+D44</f>
        <v>23915.7457835457</v>
      </c>
    </row>
    <row r="46" customFormat="false" ht="15" hidden="false" customHeight="true" outlineLevel="0" collapsed="false">
      <c r="A46" s="5" t="s">
        <v>73</v>
      </c>
      <c r="B46" s="28" t="n">
        <f aca="false">B45-$B$8</f>
        <v>8452.95172811897</v>
      </c>
      <c r="C46" s="28" t="n">
        <f aca="false">C45-$B$8</f>
        <v>16945.4312701308</v>
      </c>
      <c r="D46" s="28" t="n">
        <f aca="false">D45-$B$8</f>
        <v>22737.0457835457</v>
      </c>
    </row>
    <row r="47" customFormat="false" ht="15" hidden="false" customHeight="true" outlineLevel="0" collapsed="false">
      <c r="A47" s="27" t="s">
        <v>74</v>
      </c>
      <c r="B47" s="30" t="n">
        <f aca="false">B46/$B$5</f>
        <v>35.9700073536977</v>
      </c>
      <c r="C47" s="31" t="n">
        <f aca="false">C46/$B$5</f>
        <v>72.1082181707693</v>
      </c>
      <c r="D47" s="32" t="n">
        <f aca="false">D46/$B$5</f>
        <v>96.7533863129605</v>
      </c>
    </row>
    <row r="48" customFormat="false" ht="15" hidden="false" customHeight="true" outlineLevel="0" collapsed="false">
      <c r="A48" s="5" t="s">
        <v>43</v>
      </c>
      <c r="B48" s="33" t="n">
        <f aca="false">$B$4</f>
        <v>50</v>
      </c>
      <c r="C48" s="33" t="n">
        <f aca="false">$B$4</f>
        <v>50</v>
      </c>
      <c r="D48" s="33" t="n">
        <f aca="false">$B$4</f>
        <v>50</v>
      </c>
    </row>
    <row r="49" customFormat="false" ht="15" hidden="false" customHeight="true" outlineLevel="0" collapsed="false">
      <c r="A49" s="27" t="s">
        <v>75</v>
      </c>
      <c r="B49" s="34" t="n">
        <f aca="false">B47/B48-1</f>
        <v>-0.280599852926045</v>
      </c>
      <c r="C49" s="34" t="n">
        <f aca="false">C47/C48-1</f>
        <v>0.442164363415386</v>
      </c>
      <c r="D49" s="34" t="n">
        <f aca="false">D47/D48-1</f>
        <v>0.935067726259209</v>
      </c>
    </row>
    <row r="51" customFormat="false" ht="19.5" hidden="false" customHeight="true" outlineLevel="0" collapsed="false">
      <c r="A51" s="4" t="s">
        <v>76</v>
      </c>
      <c r="B51" s="4"/>
      <c r="C51" s="4"/>
      <c r="D51" s="4"/>
      <c r="E51" s="4"/>
      <c r="F51" s="4"/>
      <c r="G51" s="4"/>
      <c r="H51" s="4"/>
    </row>
    <row r="52" customFormat="false" ht="15" hidden="false" customHeight="true" outlineLevel="0" collapsed="false">
      <c r="A52" s="5" t="s">
        <v>77</v>
      </c>
      <c r="B52" s="35" t="n">
        <f aca="false">B31</f>
        <v>3872</v>
      </c>
    </row>
    <row r="53" customFormat="false" ht="15" hidden="false" customHeight="true" outlineLevel="0" collapsed="false">
      <c r="A53" s="5" t="s">
        <v>78</v>
      </c>
      <c r="B53" s="8" t="n">
        <f aca="false">B37</f>
        <v>658.24</v>
      </c>
    </row>
    <row r="54" customFormat="false" ht="15" hidden="false" customHeight="true" outlineLevel="0" collapsed="false">
      <c r="A54" s="5" t="s">
        <v>79</v>
      </c>
      <c r="B54" s="13" t="n">
        <f aca="false">B53/B52</f>
        <v>0.17</v>
      </c>
    </row>
  </sheetData>
  <mergeCells count="7">
    <mergeCell ref="A1:H1"/>
    <mergeCell ref="A2:H2"/>
    <mergeCell ref="A13:H13"/>
    <mergeCell ref="A28:H28"/>
    <mergeCell ref="A34:H34"/>
    <mergeCell ref="A40:H40"/>
    <mergeCell ref="A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5" min="4" style="1" width="13"/>
    <col collapsed="false" customWidth="true" hidden="false" outlineLevel="0" max="6" min="6" style="1" width="14"/>
    <col collapsed="false" customWidth="true" hidden="false" outlineLevel="0" max="7" min="7" style="1" width="24"/>
  </cols>
  <sheetData>
    <row r="1" customFormat="false" ht="25.5" hidden="false" customHeight="true" outlineLevel="0" collapsed="false">
      <c r="A1" s="2" t="s">
        <v>80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9.5" hidden="false" customHeight="true" outlineLevel="0" collapsed="false">
      <c r="A4" s="4" t="s">
        <v>81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A5" s="15" t="s">
        <v>82</v>
      </c>
      <c r="B5" s="16" t="s">
        <v>83</v>
      </c>
      <c r="C5" s="16" t="s">
        <v>84</v>
      </c>
      <c r="D5" s="16" t="s">
        <v>85</v>
      </c>
      <c r="E5" s="16" t="s">
        <v>86</v>
      </c>
    </row>
    <row r="6" customFormat="false" ht="15" hidden="false" customHeight="true" outlineLevel="0" collapsed="false">
      <c r="A6" s="5" t="s">
        <v>87</v>
      </c>
      <c r="B6" s="25" t="n">
        <v>0.12</v>
      </c>
      <c r="C6" s="25" t="n">
        <v>0.259</v>
      </c>
      <c r="D6" s="36" t="n">
        <f aca="false">B6+C6</f>
        <v>0.379</v>
      </c>
      <c r="E6" s="5" t="s">
        <v>88</v>
      </c>
    </row>
    <row r="7" customFormat="false" ht="15" hidden="false" customHeight="true" outlineLevel="0" collapsed="false">
      <c r="A7" s="5" t="s">
        <v>89</v>
      </c>
      <c r="B7" s="25" t="n">
        <v>0.12</v>
      </c>
      <c r="C7" s="25" t="n">
        <v>0.274</v>
      </c>
      <c r="D7" s="36" t="n">
        <f aca="false">B7+C7</f>
        <v>0.394</v>
      </c>
      <c r="E7" s="5" t="s">
        <v>90</v>
      </c>
    </row>
    <row r="8" customFormat="false" ht="15" hidden="false" customHeight="true" outlineLevel="0" collapsed="false">
      <c r="A8" s="5" t="s">
        <v>91</v>
      </c>
      <c r="B8" s="25" t="n">
        <v>0.1</v>
      </c>
      <c r="C8" s="25" t="n">
        <v>0.175</v>
      </c>
      <c r="D8" s="36" t="n">
        <f aca="false">B8+C8</f>
        <v>0.275</v>
      </c>
      <c r="E8" s="5" t="s">
        <v>92</v>
      </c>
    </row>
    <row r="10" customFormat="false" ht="19.5" hidden="false" customHeight="true" outlineLevel="0" collapsed="false">
      <c r="A10" s="4" t="s">
        <v>93</v>
      </c>
      <c r="B10" s="4"/>
      <c r="C10" s="4"/>
      <c r="D10" s="4"/>
      <c r="E10" s="4"/>
      <c r="F10" s="4"/>
      <c r="G10" s="4"/>
    </row>
    <row r="11" customFormat="false" ht="15" hidden="false" customHeight="true" outlineLevel="0" collapsed="false">
      <c r="A11" s="21" t="s">
        <v>94</v>
      </c>
      <c r="B11" s="23" t="s">
        <v>95</v>
      </c>
      <c r="C11" s="23" t="s">
        <v>96</v>
      </c>
      <c r="D11" s="23" t="s">
        <v>97</v>
      </c>
    </row>
    <row r="12" customFormat="false" ht="15" hidden="false" customHeight="true" outlineLevel="0" collapsed="false">
      <c r="A12" s="5" t="s">
        <v>98</v>
      </c>
      <c r="B12" s="37" t="n">
        <v>391.1</v>
      </c>
      <c r="C12" s="38" t="n">
        <v>0.166</v>
      </c>
      <c r="D12" s="18" t="n">
        <f aca="false">B12/SUM($B$12:$B$14)</f>
        <v>0.416108096606022</v>
      </c>
    </row>
    <row r="13" customFormat="false" ht="15" hidden="false" customHeight="true" outlineLevel="0" collapsed="false">
      <c r="A13" s="5" t="s">
        <v>99</v>
      </c>
      <c r="B13" s="37" t="n">
        <v>409.2</v>
      </c>
      <c r="C13" s="38" t="n">
        <v>0.139</v>
      </c>
      <c r="D13" s="18" t="n">
        <f aca="false">B13/SUM($B$12:$B$14)</f>
        <v>0.435365464411108</v>
      </c>
    </row>
    <row r="14" customFormat="false" ht="15" hidden="false" customHeight="true" outlineLevel="0" collapsed="false">
      <c r="A14" s="5" t="s">
        <v>100</v>
      </c>
      <c r="B14" s="37" t="n">
        <v>139.6</v>
      </c>
      <c r="C14" s="39" t="n">
        <v>-0.044</v>
      </c>
      <c r="D14" s="18" t="n">
        <f aca="false">B14/SUM($B$12:$B$14)</f>
        <v>0.148526438982871</v>
      </c>
    </row>
    <row r="15" customFormat="false" ht="15" hidden="false" customHeight="true" outlineLevel="0" collapsed="false">
      <c r="A15" s="27" t="s">
        <v>101</v>
      </c>
      <c r="B15" s="29" t="n">
        <f aca="false">SUM(B12:B14)</f>
        <v>939.9</v>
      </c>
    </row>
    <row r="17" customFormat="false" ht="19.5" hidden="false" customHeight="true" outlineLevel="0" collapsed="false">
      <c r="A17" s="4" t="s">
        <v>102</v>
      </c>
      <c r="B17" s="4"/>
      <c r="C17" s="4"/>
      <c r="D17" s="4"/>
      <c r="E17" s="4"/>
      <c r="F17" s="4"/>
      <c r="G17" s="4"/>
    </row>
    <row r="18" customFormat="false" ht="15" hidden="false" customHeight="true" outlineLevel="0" collapsed="false">
      <c r="A18" s="15" t="s">
        <v>103</v>
      </c>
      <c r="B18" s="16" t="s">
        <v>104</v>
      </c>
      <c r="C18" s="16" t="s">
        <v>105</v>
      </c>
      <c r="D18" s="16" t="s">
        <v>106</v>
      </c>
      <c r="E18" s="16" t="s">
        <v>85</v>
      </c>
      <c r="F18" s="16" t="s">
        <v>107</v>
      </c>
      <c r="G18" s="16" t="s">
        <v>108</v>
      </c>
    </row>
    <row r="19" customFormat="false" ht="15" hidden="false" customHeight="true" outlineLevel="0" collapsed="false">
      <c r="A19" s="40" t="s">
        <v>109</v>
      </c>
      <c r="B19" s="41" t="s">
        <v>110</v>
      </c>
      <c r="C19" s="42" t="n">
        <v>0.1</v>
      </c>
      <c r="D19" s="42" t="n">
        <v>0.175</v>
      </c>
      <c r="E19" s="43" t="n">
        <f aca="false">C19+D19</f>
        <v>0.275</v>
      </c>
      <c r="F19" s="44" t="n">
        <v>3.3</v>
      </c>
      <c r="G19" s="45" t="s">
        <v>111</v>
      </c>
    </row>
    <row r="20" customFormat="false" ht="15" hidden="false" customHeight="true" outlineLevel="0" collapsed="false">
      <c r="A20" s="5" t="s">
        <v>112</v>
      </c>
      <c r="B20" s="46" t="s">
        <v>113</v>
      </c>
      <c r="C20" s="25" t="n">
        <v>0.06</v>
      </c>
      <c r="D20" s="25" t="n">
        <v>0.2</v>
      </c>
      <c r="E20" s="47" t="n">
        <f aca="false">C20+D20</f>
        <v>0.26</v>
      </c>
      <c r="F20" s="26" t="n">
        <v>4.5</v>
      </c>
      <c r="G20" s="48" t="s">
        <v>114</v>
      </c>
    </row>
    <row r="21" customFormat="false" ht="15" hidden="false" customHeight="true" outlineLevel="0" collapsed="false">
      <c r="A21" s="5" t="s">
        <v>115</v>
      </c>
      <c r="B21" s="46" t="s">
        <v>115</v>
      </c>
      <c r="C21" s="25" t="n">
        <v>0.02</v>
      </c>
      <c r="D21" s="25" t="n">
        <v>0.07</v>
      </c>
      <c r="E21" s="47" t="n">
        <f aca="false">C21+D21</f>
        <v>0.09</v>
      </c>
      <c r="F21" s="26" t="n">
        <v>1.1</v>
      </c>
      <c r="G21" s="48" t="s">
        <v>116</v>
      </c>
    </row>
    <row r="22" customFormat="false" ht="15" hidden="false" customHeight="true" outlineLevel="0" collapsed="false">
      <c r="A22" s="5" t="s">
        <v>117</v>
      </c>
      <c r="B22" s="46" t="s">
        <v>118</v>
      </c>
      <c r="C22" s="25" t="n">
        <v>0.05</v>
      </c>
      <c r="D22" s="25" t="n">
        <v>0.08</v>
      </c>
      <c r="E22" s="47" t="n">
        <f aca="false">C22+D22</f>
        <v>0.13</v>
      </c>
      <c r="F22" s="26" t="n">
        <v>1.3</v>
      </c>
      <c r="G22" s="48" t="s">
        <v>119</v>
      </c>
    </row>
    <row r="23" customFormat="false" ht="15" hidden="false" customHeight="true" outlineLevel="0" collapsed="false">
      <c r="A23" s="5" t="s">
        <v>120</v>
      </c>
      <c r="B23" s="46" t="s">
        <v>121</v>
      </c>
      <c r="C23" s="25" t="n">
        <v>0.11</v>
      </c>
      <c r="D23" s="25" t="n">
        <v>0.27</v>
      </c>
      <c r="E23" s="47" t="n">
        <f aca="false">C23+D23</f>
        <v>0.38</v>
      </c>
      <c r="F23" s="26" t="n">
        <v>9.5</v>
      </c>
      <c r="G23" s="48" t="s">
        <v>122</v>
      </c>
    </row>
    <row r="24" customFormat="false" ht="15" hidden="false" customHeight="true" outlineLevel="0" collapsed="false">
      <c r="A24" s="5" t="s">
        <v>123</v>
      </c>
      <c r="B24" s="46" t="s">
        <v>124</v>
      </c>
      <c r="C24" s="25" t="n">
        <v>0.11</v>
      </c>
      <c r="D24" s="25" t="n">
        <v>0.3</v>
      </c>
      <c r="E24" s="47" t="n">
        <f aca="false">C24+D24</f>
        <v>0.41</v>
      </c>
      <c r="F24" s="26" t="n">
        <v>8</v>
      </c>
      <c r="G24" s="48" t="s">
        <v>125</v>
      </c>
    </row>
    <row r="25" customFormat="false" ht="15" hidden="false" customHeight="true" outlineLevel="0" collapsed="false">
      <c r="A25" s="5" t="s">
        <v>126</v>
      </c>
      <c r="B25" s="46" t="s">
        <v>127</v>
      </c>
      <c r="C25" s="25" t="n">
        <v>0.06</v>
      </c>
      <c r="D25" s="25" t="n">
        <v>0.13</v>
      </c>
      <c r="E25" s="47" t="n">
        <f aca="false">C25+D25</f>
        <v>0.19</v>
      </c>
      <c r="F25" s="26" t="n">
        <v>2.8</v>
      </c>
      <c r="G25" s="48" t="s">
        <v>128</v>
      </c>
    </row>
    <row r="26" customFormat="false" ht="15" hidden="false" customHeight="true" outlineLevel="0" collapsed="false">
      <c r="A26" s="20" t="s">
        <v>129</v>
      </c>
    </row>
  </sheetData>
  <mergeCells count="5">
    <mergeCell ref="A1:G1"/>
    <mergeCell ref="A2:G2"/>
    <mergeCell ref="A4:G4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5" min="4" style="1" width="15"/>
    <col collapsed="false" customWidth="true" hidden="false" outlineLevel="0" max="6" min="6" style="1" width="30"/>
  </cols>
  <sheetData>
    <row r="1" customFormat="false" ht="25.5" hidden="false" customHeight="true" outlineLevel="0" collapsed="false">
      <c r="A1" s="2" t="s">
        <v>130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4" t="s">
        <v>131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n">
        <v>50</v>
      </c>
    </row>
    <row r="6" customFormat="false" ht="15" hidden="false" customHeight="true" outlineLevel="0" collapsed="false">
      <c r="A6" s="5" t="s">
        <v>132</v>
      </c>
      <c r="B6" s="6" t="n">
        <v>72</v>
      </c>
    </row>
    <row r="7" customFormat="false" ht="15" hidden="false" customHeight="true" outlineLevel="0" collapsed="false">
      <c r="A7" s="5" t="s">
        <v>133</v>
      </c>
      <c r="B7" s="6" t="n">
        <v>36</v>
      </c>
    </row>
    <row r="8" customFormat="false" ht="15" hidden="false" customHeight="true" outlineLevel="0" collapsed="false">
      <c r="A8" s="5" t="s">
        <v>134</v>
      </c>
      <c r="B8" s="49" t="s">
        <v>135</v>
      </c>
    </row>
    <row r="9" customFormat="false" ht="15" hidden="false" customHeight="true" outlineLevel="0" collapsed="false">
      <c r="A9" s="5" t="s">
        <v>39</v>
      </c>
      <c r="B9" s="19" t="n">
        <v>26</v>
      </c>
    </row>
    <row r="10" customFormat="false" ht="15" hidden="false" customHeight="true" outlineLevel="0" collapsed="false">
      <c r="A10" s="5" t="s">
        <v>40</v>
      </c>
      <c r="B10" s="10" t="n">
        <v>0.72</v>
      </c>
    </row>
    <row r="12" customFormat="false" ht="19.5" hidden="false" customHeight="true" outlineLevel="0" collapsed="false">
      <c r="A12" s="4" t="s">
        <v>136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15" t="s">
        <v>137</v>
      </c>
      <c r="B13" s="16" t="s">
        <v>138</v>
      </c>
      <c r="C13" s="16" t="s">
        <v>139</v>
      </c>
      <c r="D13" s="16" t="s">
        <v>140</v>
      </c>
      <c r="E13" s="16" t="s">
        <v>141</v>
      </c>
      <c r="F13" s="16" t="s">
        <v>142</v>
      </c>
    </row>
    <row r="14" customFormat="false" ht="30" hidden="false" customHeight="true" outlineLevel="0" collapsed="false">
      <c r="A14" s="50" t="s">
        <v>143</v>
      </c>
      <c r="B14" s="51" t="s">
        <v>144</v>
      </c>
      <c r="C14" s="51" t="s">
        <v>145</v>
      </c>
      <c r="D14" s="51" t="s">
        <v>146</v>
      </c>
      <c r="E14" s="51" t="s">
        <v>147</v>
      </c>
      <c r="F14" s="52" t="s">
        <v>148</v>
      </c>
    </row>
    <row r="15" customFormat="false" ht="30" hidden="false" customHeight="true" outlineLevel="0" collapsed="false">
      <c r="A15" s="50" t="s">
        <v>149</v>
      </c>
      <c r="B15" s="51" t="s">
        <v>150</v>
      </c>
      <c r="C15" s="51" t="s">
        <v>151</v>
      </c>
      <c r="D15" s="51" t="s">
        <v>152</v>
      </c>
      <c r="E15" s="51" t="s">
        <v>153</v>
      </c>
      <c r="F15" s="52" t="s">
        <v>154</v>
      </c>
    </row>
    <row r="16" customFormat="false" ht="30" hidden="false" customHeight="true" outlineLevel="0" collapsed="false">
      <c r="A16" s="50" t="s">
        <v>155</v>
      </c>
      <c r="B16" s="51" t="s">
        <v>156</v>
      </c>
      <c r="C16" s="51" t="s">
        <v>157</v>
      </c>
      <c r="D16" s="51" t="s">
        <v>158</v>
      </c>
      <c r="E16" s="51" t="s">
        <v>159</v>
      </c>
      <c r="F16" s="52" t="s">
        <v>160</v>
      </c>
    </row>
    <row r="17" customFormat="false" ht="30" hidden="false" customHeight="true" outlineLevel="0" collapsed="false">
      <c r="A17" s="50" t="s">
        <v>161</v>
      </c>
      <c r="B17" s="51" t="s">
        <v>162</v>
      </c>
      <c r="C17" s="51" t="s">
        <v>163</v>
      </c>
      <c r="D17" s="51" t="s">
        <v>164</v>
      </c>
      <c r="E17" s="51" t="s">
        <v>165</v>
      </c>
      <c r="F17" s="52" t="s">
        <v>166</v>
      </c>
    </row>
    <row r="19" customFormat="false" ht="15" hidden="false" customHeight="true" outlineLevel="0" collapsed="false">
      <c r="A19" s="53" t="s">
        <v>167</v>
      </c>
      <c r="B19" s="53"/>
      <c r="C19" s="53"/>
      <c r="D19" s="53"/>
      <c r="E19" s="53"/>
      <c r="F19" s="53"/>
    </row>
  </sheetData>
  <mergeCells count="5">
    <mergeCell ref="A1:F1"/>
    <mergeCell ref="A2:F2"/>
    <mergeCell ref="A4:F4"/>
    <mergeCell ref="A12:F1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2026-06-11T19:51:49Z</dcterms:created>
  <dc:creator>openpyxl</dc:creator>
  <dc:description/>
  <dc:language>en-US</dc:language>
  <cp:lastModifiedBy/>
  <dcterms:modified xsi:type="dcterms:W3CDTF">2026-06-11T19:52:02Z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